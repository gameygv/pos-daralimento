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nes de compra" sheetId="1" r:id="rId5"/>
    <sheet state="visible" name="Cuentas por cobrar" sheetId="2" r:id="rId6"/>
    <sheet state="visible" name="Inventario pollos" sheetId="3" r:id="rId7"/>
    <sheet state="visible" name="Inventario Cerdos" sheetId="4" r:id="rId8"/>
  </sheets>
  <definedNames/>
  <calcPr/>
</workbook>
</file>

<file path=xl/sharedStrings.xml><?xml version="1.0" encoding="utf-8"?>
<sst xmlns="http://schemas.openxmlformats.org/spreadsheetml/2006/main" count="1785" uniqueCount="308">
  <si>
    <t>ORDENES DE COMPRA</t>
  </si>
  <si>
    <t>FECHA</t>
  </si>
  <si>
    <t>PRODUCTO</t>
  </si>
  <si>
    <t>PESO</t>
  </si>
  <si>
    <t>$ PUBLICO</t>
  </si>
  <si>
    <t>$ PROV</t>
  </si>
  <si>
    <t>PUNTO DE VENTA</t>
  </si>
  <si>
    <t>ENTREGADO</t>
  </si>
  <si>
    <t>PAGADO</t>
  </si>
  <si>
    <t>POLLO PARTIDO</t>
  </si>
  <si>
    <t>TALLER RELACIONES</t>
  </si>
  <si>
    <t>X</t>
  </si>
  <si>
    <t>FAM, HOCH</t>
  </si>
  <si>
    <t>#</t>
  </si>
  <si>
    <t>CLIENTE</t>
  </si>
  <si>
    <t>POLLO ENTERO</t>
  </si>
  <si>
    <t xml:space="preserve">JORDANA </t>
  </si>
  <si>
    <t>RENACER</t>
  </si>
  <si>
    <t>GIL</t>
  </si>
  <si>
    <t>OTRO</t>
  </si>
  <si>
    <t>GUS</t>
  </si>
  <si>
    <t>REGALO</t>
  </si>
  <si>
    <t>CUÑADA</t>
  </si>
  <si>
    <t>ARMANDO</t>
  </si>
  <si>
    <t>NALLE</t>
  </si>
  <si>
    <t>GUILLE</t>
  </si>
  <si>
    <t>SOLAR</t>
  </si>
  <si>
    <t>AYUDANTE</t>
  </si>
  <si>
    <t xml:space="preserve">REGALO </t>
  </si>
  <si>
    <t>GUSTAVO</t>
  </si>
  <si>
    <t>VERANALLE</t>
  </si>
  <si>
    <t>MEDIO POLLO</t>
  </si>
  <si>
    <t>LAURA GISELA PW</t>
  </si>
  <si>
    <t>ANA KARLA PW</t>
  </si>
  <si>
    <t>HANIEL PW</t>
  </si>
  <si>
    <t>LORE ALVARADO</t>
  </si>
  <si>
    <t>PECHUGA</t>
  </si>
  <si>
    <t>SIDNEY PW</t>
  </si>
  <si>
    <t>ROSA A PW</t>
  </si>
  <si>
    <t>DALIA PW</t>
  </si>
  <si>
    <t>PIERNA Y MUSLO</t>
  </si>
  <si>
    <t>FLORENCIA PW</t>
  </si>
  <si>
    <t>MOLIDA DE POLLO</t>
  </si>
  <si>
    <t>PAG WEB</t>
  </si>
  <si>
    <t>x</t>
  </si>
  <si>
    <t>ALAS</t>
  </si>
  <si>
    <t>HIGADO</t>
  </si>
  <si>
    <t>ROSA PW</t>
  </si>
  <si>
    <t>MOLLEJAS</t>
  </si>
  <si>
    <t>CUENTAS POR COBRAR</t>
  </si>
  <si>
    <t>CANTIDAD</t>
  </si>
  <si>
    <t>FAM HOCH</t>
  </si>
  <si>
    <t>JIASU</t>
  </si>
  <si>
    <t>STEFANO SALGADO</t>
  </si>
  <si>
    <t>FAM.  HOCH</t>
  </si>
  <si>
    <t>PAG. WEB</t>
  </si>
  <si>
    <t>LA PIZCA</t>
  </si>
  <si>
    <t xml:space="preserve">RENACER </t>
  </si>
  <si>
    <t>PECHUGAS</t>
  </si>
  <si>
    <t>EMILIO</t>
  </si>
  <si>
    <t>LA  PIZCA</t>
  </si>
  <si>
    <t>JORDANA</t>
  </si>
  <si>
    <t xml:space="preserve">CHORIZO </t>
  </si>
  <si>
    <t>CORAZONES</t>
  </si>
  <si>
    <t>HIGADOS</t>
  </si>
  <si>
    <t>CALDO DE HUESO</t>
  </si>
  <si>
    <t>.940 ML</t>
  </si>
  <si>
    <t>AMARANTO</t>
  </si>
  <si>
    <t>INVENTARIO</t>
  </si>
  <si>
    <t>$464,64</t>
  </si>
  <si>
    <t>$560,05</t>
  </si>
  <si>
    <t>$467,52</t>
  </si>
  <si>
    <t>$469,20</t>
  </si>
  <si>
    <t>$391,68</t>
  </si>
  <si>
    <t>$332,35</t>
  </si>
  <si>
    <t>$277,44</t>
  </si>
  <si>
    <t>$526,70</t>
  </si>
  <si>
    <t>$481,85</t>
  </si>
  <si>
    <t>2,34</t>
  </si>
  <si>
    <t>$538,20</t>
  </si>
  <si>
    <t>$414,99</t>
  </si>
  <si>
    <t>2,62</t>
  </si>
  <si>
    <t>$455,88</t>
  </si>
  <si>
    <t>2,59</t>
  </si>
  <si>
    <t>$450,66</t>
  </si>
  <si>
    <t>$437,61</t>
  </si>
  <si>
    <t>2,49</t>
  </si>
  <si>
    <t>$433,26</t>
  </si>
  <si>
    <t>$381,93</t>
  </si>
  <si>
    <t>$606,05</t>
  </si>
  <si>
    <t>$598,69</t>
  </si>
  <si>
    <t>2,51</t>
  </si>
  <si>
    <t>$577,30</t>
  </si>
  <si>
    <t>1,9</t>
  </si>
  <si>
    <t>$330,60</t>
  </si>
  <si>
    <t>1,94</t>
  </si>
  <si>
    <t>$337,56</t>
  </si>
  <si>
    <t>$380,19</t>
  </si>
  <si>
    <t>2,88</t>
  </si>
  <si>
    <t>$501,12</t>
  </si>
  <si>
    <t>2,55</t>
  </si>
  <si>
    <t>$443,70</t>
  </si>
  <si>
    <t>$397,59</t>
  </si>
  <si>
    <t>2,63</t>
  </si>
  <si>
    <t>$457,62</t>
  </si>
  <si>
    <t>$407,16</t>
  </si>
  <si>
    <t>$421,95</t>
  </si>
  <si>
    <t>$451,53</t>
  </si>
  <si>
    <t>$413,25</t>
  </si>
  <si>
    <t>2,68</t>
  </si>
  <si>
    <t>$466,32</t>
  </si>
  <si>
    <t>2,7</t>
  </si>
  <si>
    <t>$469,80</t>
  </si>
  <si>
    <t>2,54</t>
  </si>
  <si>
    <t>$441,96</t>
  </si>
  <si>
    <t>1,06</t>
  </si>
  <si>
    <t>$243,80</t>
  </si>
  <si>
    <t>$203,52</t>
  </si>
  <si>
    <t>$182,88</t>
  </si>
  <si>
    <t>1,09</t>
  </si>
  <si>
    <t>$190,75</t>
  </si>
  <si>
    <t>$238,88</t>
  </si>
  <si>
    <t>$200,38</t>
  </si>
  <si>
    <t>$259,88</t>
  </si>
  <si>
    <t>$295,55</t>
  </si>
  <si>
    <t>1,29</t>
  </si>
  <si>
    <t>$296,70</t>
  </si>
  <si>
    <t>1,14</t>
  </si>
  <si>
    <t>$262,20</t>
  </si>
  <si>
    <t>$281,75</t>
  </si>
  <si>
    <t>$543,75</t>
  </si>
  <si>
    <t>1,84</t>
  </si>
  <si>
    <t>$460,00</t>
  </si>
  <si>
    <t>$414,38</t>
  </si>
  <si>
    <t>$412,43</t>
  </si>
  <si>
    <t>2,13</t>
  </si>
  <si>
    <t>$415,35</t>
  </si>
  <si>
    <t>2,3</t>
  </si>
  <si>
    <t>$552,00</t>
  </si>
  <si>
    <t>2,43</t>
  </si>
  <si>
    <t>$473,85</t>
  </si>
  <si>
    <t>2,36</t>
  </si>
  <si>
    <t>$460,20</t>
  </si>
  <si>
    <t>2,6</t>
  </si>
  <si>
    <t>$507,00</t>
  </si>
  <si>
    <t>$447,53</t>
  </si>
  <si>
    <t>2,79</t>
  </si>
  <si>
    <t>$544,05</t>
  </si>
  <si>
    <t>2,38</t>
  </si>
  <si>
    <t>$464,10</t>
  </si>
  <si>
    <t>2,44</t>
  </si>
  <si>
    <t>$475,80</t>
  </si>
  <si>
    <t>$467,03</t>
  </si>
  <si>
    <t>2,56</t>
  </si>
  <si>
    <t>$499,20</t>
  </si>
  <si>
    <t>$476,78</t>
  </si>
  <si>
    <t>2,29</t>
  </si>
  <si>
    <t>$549,60</t>
  </si>
  <si>
    <t>2,82</t>
  </si>
  <si>
    <t>$676,80</t>
  </si>
  <si>
    <t>$637,20</t>
  </si>
  <si>
    <t>$541,20</t>
  </si>
  <si>
    <t>2,75</t>
  </si>
  <si>
    <t>$660,00</t>
  </si>
  <si>
    <t>2,24</t>
  </si>
  <si>
    <t>$436,80</t>
  </si>
  <si>
    <t>$513,83</t>
  </si>
  <si>
    <t>2,86</t>
  </si>
  <si>
    <t>$686,40</t>
  </si>
  <si>
    <t>$360,85</t>
  </si>
  <si>
    <t>$288,85</t>
  </si>
  <si>
    <t>$360,82</t>
  </si>
  <si>
    <t>$288,82</t>
  </si>
  <si>
    <t>$360,79</t>
  </si>
  <si>
    <t>$288,79</t>
  </si>
  <si>
    <t>$360,63</t>
  </si>
  <si>
    <t>$288,63</t>
  </si>
  <si>
    <t>$360,69</t>
  </si>
  <si>
    <t>$288,69</t>
  </si>
  <si>
    <t>0,75</t>
  </si>
  <si>
    <t>$360,75</t>
  </si>
  <si>
    <t>$288,75</t>
  </si>
  <si>
    <t>$360,67</t>
  </si>
  <si>
    <t>$288,67</t>
  </si>
  <si>
    <t>0,65</t>
  </si>
  <si>
    <t>$360,65</t>
  </si>
  <si>
    <t>$288,65</t>
  </si>
  <si>
    <t>0,7</t>
  </si>
  <si>
    <t>$360,70</t>
  </si>
  <si>
    <t>$288,70</t>
  </si>
  <si>
    <t>0,67</t>
  </si>
  <si>
    <t>0,66</t>
  </si>
  <si>
    <t>$360,66</t>
  </si>
  <si>
    <t>$288,66</t>
  </si>
  <si>
    <t>0,85</t>
  </si>
  <si>
    <t>$306,00</t>
  </si>
  <si>
    <t>0,98</t>
  </si>
  <si>
    <t>$282,24</t>
  </si>
  <si>
    <t>$283,68</t>
  </si>
  <si>
    <t>0,99</t>
  </si>
  <si>
    <t>$285,12</t>
  </si>
  <si>
    <t>$286,56</t>
  </si>
  <si>
    <t>0,96</t>
  </si>
  <si>
    <t>$276,48</t>
  </si>
  <si>
    <t>0,83</t>
  </si>
  <si>
    <t>$239,04</t>
  </si>
  <si>
    <t>$234,72</t>
  </si>
  <si>
    <t>0,78</t>
  </si>
  <si>
    <t>$224,64</t>
  </si>
  <si>
    <t>0,88</t>
  </si>
  <si>
    <t>$253,44</t>
  </si>
  <si>
    <t>$277,92</t>
  </si>
  <si>
    <t>0,9</t>
  </si>
  <si>
    <t>$324,00</t>
  </si>
  <si>
    <t>$347,40</t>
  </si>
  <si>
    <t>1,04</t>
  </si>
  <si>
    <t>$374,40</t>
  </si>
  <si>
    <t>0,86</t>
  </si>
  <si>
    <t>$309,60</t>
  </si>
  <si>
    <t>$293,40</t>
  </si>
  <si>
    <t>0,79</t>
  </si>
  <si>
    <t>$284,40</t>
  </si>
  <si>
    <t>$408,60</t>
  </si>
  <si>
    <t>$365,40</t>
  </si>
  <si>
    <t>$365,41</t>
  </si>
  <si>
    <t>$365,42</t>
  </si>
  <si>
    <t>$365,43</t>
  </si>
  <si>
    <t>0,84</t>
  </si>
  <si>
    <t>$365,44</t>
  </si>
  <si>
    <t>$365,45</t>
  </si>
  <si>
    <t>$365,46</t>
  </si>
  <si>
    <t>$365,47</t>
  </si>
  <si>
    <t>$365,48</t>
  </si>
  <si>
    <t>PAGINA WEB</t>
  </si>
  <si>
    <t>$210,25</t>
  </si>
  <si>
    <t>0,72</t>
  </si>
  <si>
    <t>$208,80</t>
  </si>
  <si>
    <t>$188,76</t>
  </si>
  <si>
    <t>$207,35</t>
  </si>
  <si>
    <t>$162,14</t>
  </si>
  <si>
    <t>$158,51</t>
  </si>
  <si>
    <t>$191,40</t>
  </si>
  <si>
    <t>$159,72</t>
  </si>
  <si>
    <t>$163,35</t>
  </si>
  <si>
    <t>$211,40</t>
  </si>
  <si>
    <t>$250,60</t>
  </si>
  <si>
    <t>0,81</t>
  </si>
  <si>
    <t>$196,02</t>
  </si>
  <si>
    <t>0,71</t>
  </si>
  <si>
    <t>$171,82</t>
  </si>
  <si>
    <t>$185,13</t>
  </si>
  <si>
    <t>$187,55</t>
  </si>
  <si>
    <t>$177,87</t>
  </si>
  <si>
    <t>$191,18</t>
  </si>
  <si>
    <t>$182,71</t>
  </si>
  <si>
    <t>$189,97</t>
  </si>
  <si>
    <t>$242,20</t>
  </si>
  <si>
    <t>$226,80</t>
  </si>
  <si>
    <t>0,8</t>
  </si>
  <si>
    <t>$224,00</t>
  </si>
  <si>
    <t>$218,40</t>
  </si>
  <si>
    <t>$238,00</t>
  </si>
  <si>
    <t>$196,00</t>
  </si>
  <si>
    <t>$222,60</t>
  </si>
  <si>
    <t>$208,60</t>
  </si>
  <si>
    <t>0,73</t>
  </si>
  <si>
    <t>$204,40</t>
  </si>
  <si>
    <t>$193,60</t>
  </si>
  <si>
    <t>$194,81</t>
  </si>
  <si>
    <t>$160,00</t>
  </si>
  <si>
    <t>$180,00</t>
  </si>
  <si>
    <t xml:space="preserve">ALIMENTO MASCOTA COCIDO </t>
  </si>
  <si>
    <t>ALIMENTO MASCOTA CRUDO</t>
  </si>
  <si>
    <t>CABEZA DE LOMO</t>
  </si>
  <si>
    <t>CHORIZO DE CERDO</t>
  </si>
  <si>
    <t>CHULETA</t>
  </si>
  <si>
    <t>COSTILLA</t>
  </si>
  <si>
    <t>GORDITAS DE CHICHARRON</t>
  </si>
  <si>
    <t>MACIZA DE CERDO</t>
  </si>
  <si>
    <t>MANTECA DE CERDO .500 GR</t>
  </si>
  <si>
    <t>MANTECA 1 LT</t>
  </si>
  <si>
    <t>LOMO AHUMADO</t>
  </si>
  <si>
    <t>ROLLO DE TOCINO</t>
  </si>
  <si>
    <t>TOCINO REBANADO</t>
  </si>
  <si>
    <t>PIERNA AHUMADA</t>
  </si>
  <si>
    <t>HIGADO DE CERDO</t>
  </si>
  <si>
    <t>JERKY CERDO</t>
  </si>
  <si>
    <t>SALAMI ITALIANO</t>
  </si>
  <si>
    <t>SALAMI ARGENTINO</t>
  </si>
  <si>
    <t>MOLIDA DE CERDO</t>
  </si>
  <si>
    <t>PORK BELLY</t>
  </si>
  <si>
    <t>FILETE DE CERDO</t>
  </si>
  <si>
    <t>LOMO DE CERDO</t>
  </si>
  <si>
    <t>CABEZA DE LOMO BORREGO</t>
  </si>
  <si>
    <t>BRAZO DE BORREGO</t>
  </si>
  <si>
    <t>MOILIDA DE BORREGO</t>
  </si>
  <si>
    <t>MOLIDA DE BORREGO</t>
  </si>
  <si>
    <t>COSTILLA DE BORREGO</t>
  </si>
  <si>
    <t>LOMO DE BORREGO</t>
  </si>
  <si>
    <t>FILETE DE BORREGO</t>
  </si>
  <si>
    <t>SALCHICHA DE GUAJILLO BORREGO</t>
  </si>
  <si>
    <t>SALCHICHA CHIPOTLE BORREGO</t>
  </si>
  <si>
    <t>SALCHICHA DE CHILE MORITA</t>
  </si>
  <si>
    <t>SALCHICHA DE CHULE MORITA</t>
  </si>
  <si>
    <t>ROLLO AHUMADO DE BORREGO</t>
  </si>
  <si>
    <t>CALDO DE HUESO  DE BORREGO</t>
  </si>
  <si>
    <t>CALDO DE HUESO DE BORREGO</t>
  </si>
  <si>
    <t>SALAMI DE BORREGO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</si>
</sst>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\-MMM\-YY"/>
    <numFmt numFmtId="165" formatCode="&quot; $&quot;* #,##0.00\ ;&quot;-$&quot;* #,##0.00\ ;&quot; $&quot;* \-#\ ;\ @\ "/>
    <numFmt numFmtId="166" formatCode="#,##0.000"/>
    <numFmt numFmtId="167" formatCode="0.000"/>
    <numFmt numFmtId="168" formatCode="#,##0.0"/>
    <numFmt numFmtId="169" formatCode="[$$-80A]* #,##0.00000\ ;\-[$$-80A]* #,##0.00000\ ;[$$-80A]* \-#\ ;\ @\ "/>
    <numFmt numFmtId="170" formatCode="\$#,##0;[RED]&quot;-$&quot;#,##0"/>
  </numFmts>
  <fonts count="12">
    <font>
      <sz val="11.0"/>
      <color rgb="FF000000"/>
      <name val="Aptos Narrow"/>
      <scheme val="minor"/>
    </font>
    <font>
      <b/>
      <sz val="14.0"/>
      <color rgb="FF000000"/>
      <name val="Arial"/>
    </font>
    <font>
      <b/>
      <sz val="14.0"/>
      <color rgb="FF000000"/>
      <name val="Aptos Narrow"/>
    </font>
    <font>
      <sz val="11.0"/>
      <color rgb="FF000000"/>
      <name val="Aptos Narrow"/>
    </font>
    <font>
      <b/>
      <sz val="12.0"/>
      <color rgb="FF000000"/>
      <name val="Aptos Narrow"/>
    </font>
    <font>
      <b/>
      <sz val="11.0"/>
      <color rgb="FF000000"/>
      <name val="Aptos Narrow"/>
    </font>
    <font>
      <sz val="11.0"/>
      <color rgb="FF000000"/>
      <name val="Arial"/>
    </font>
    <font>
      <b/>
      <sz val="12.0"/>
      <color rgb="FF000000"/>
      <name val="Arial"/>
    </font>
    <font>
      <b/>
      <sz val="11.0"/>
      <color rgb="FF000000"/>
      <name val="Arial"/>
    </font>
    <font>
      <b/>
      <sz val="12.0"/>
      <color rgb="FF000000"/>
      <name val="&quot;Aptos Narrow&quot;"/>
    </font>
    <font>
      <b/>
      <sz val="11.0"/>
      <color rgb="FF000000"/>
      <name val="&quot;Aptos Narrow&quot;"/>
    </font>
    <font>
      <sz val="11.0"/>
      <color rgb="FF000000"/>
      <name val="&quot;Aptos Narrow&quot;"/>
    </font>
  </fonts>
  <fills count="14">
    <fill>
      <patternFill patternType="none"/>
    </fill>
    <fill>
      <patternFill patternType="lightGray"/>
    </fill>
    <fill>
      <patternFill patternType="solid">
        <fgColor rgb="FFE49EDD"/>
        <bgColor rgb="FFE49EDD"/>
      </patternFill>
    </fill>
    <fill>
      <patternFill patternType="solid">
        <fgColor rgb="FFFFFFFF"/>
        <bgColor rgb="FFFFFFFF"/>
      </patternFill>
    </fill>
    <fill>
      <patternFill patternType="solid">
        <fgColor rgb="FFC1F0C8"/>
        <bgColor rgb="FFC1F0C8"/>
      </patternFill>
    </fill>
    <fill>
      <patternFill patternType="solid">
        <fgColor rgb="FFD0D0D0"/>
        <bgColor rgb="FFD0D0D0"/>
      </patternFill>
    </fill>
    <fill>
      <patternFill patternType="solid">
        <fgColor rgb="FFFBE2D5"/>
        <bgColor rgb="FFFBE2D5"/>
      </patternFill>
    </fill>
    <fill>
      <patternFill patternType="solid">
        <fgColor rgb="FFC0E6F5"/>
        <bgColor rgb="FFC0E6F5"/>
      </patternFill>
    </fill>
    <fill>
      <patternFill patternType="solid">
        <fgColor rgb="FFFFFF00"/>
        <bgColor rgb="FFFFFF00"/>
      </patternFill>
    </fill>
    <fill>
      <patternFill patternType="solid">
        <fgColor rgb="FFDAF2D0"/>
        <bgColor rgb="FFDAF2D0"/>
      </patternFill>
    </fill>
    <fill>
      <patternFill patternType="solid">
        <fgColor rgb="FFF1A983"/>
        <bgColor rgb="FFF1A983"/>
      </patternFill>
    </fill>
    <fill>
      <patternFill patternType="solid">
        <fgColor rgb="FFF7C7AC"/>
        <bgColor rgb="FFF7C7AC"/>
      </patternFill>
    </fill>
    <fill>
      <patternFill patternType="solid">
        <fgColor rgb="FFCAEDFB"/>
        <bgColor rgb="FFCAEDFB"/>
      </patternFill>
    </fill>
    <fill>
      <patternFill patternType="solid">
        <fgColor rgb="FF92D050"/>
        <bgColor rgb="FF92D05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center" shrinkToFit="0" vertical="bottom" wrapText="0"/>
    </xf>
    <xf borderId="1" fillId="2" fontId="4" numFmtId="0" xfId="0" applyAlignment="1" applyBorder="1" applyFill="1" applyFont="1">
      <alignment horizontal="center" shrinkToFit="0" vertical="bottom" wrapText="0"/>
    </xf>
    <xf borderId="1" fillId="2" fontId="5" numFmtId="0" xfId="0" applyAlignment="1" applyBorder="1" applyFont="1">
      <alignment horizontal="center" shrinkToFit="0" vertical="bottom" wrapText="0"/>
    </xf>
    <xf borderId="0" fillId="0" fontId="3" numFmtId="164" xfId="0" applyAlignment="1" applyFont="1" applyNumberFormat="1">
      <alignment horizontal="center" shrinkToFit="0" vertical="bottom" wrapText="0"/>
    </xf>
    <xf borderId="0" fillId="0" fontId="3" numFmtId="165" xfId="0" applyAlignment="1" applyFont="1" applyNumberFormat="1">
      <alignment horizontal="center" shrinkToFit="0" vertical="bottom" wrapText="0"/>
    </xf>
    <xf borderId="0" fillId="0" fontId="3" numFmtId="165" xfId="0" applyAlignment="1" applyFont="1" applyNumberFormat="1">
      <alignment shrinkToFit="0" vertical="bottom" wrapText="0"/>
    </xf>
    <xf borderId="1" fillId="3" fontId="3" numFmtId="165" xfId="0" applyAlignment="1" applyBorder="1" applyFill="1" applyFont="1" applyNumberFormat="1">
      <alignment horizontal="center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1" fillId="4" fontId="3" numFmtId="0" xfId="0" applyAlignment="1" applyBorder="1" applyFill="1" applyFont="1">
      <alignment horizontal="center" shrinkToFit="0" vertical="bottom" wrapText="0"/>
    </xf>
    <xf borderId="1" fillId="2" fontId="7" numFmtId="0" xfId="0" applyAlignment="1" applyBorder="1" applyFont="1">
      <alignment horizontal="center" readingOrder="0" shrinkToFit="0" vertical="bottom" wrapText="0"/>
    </xf>
    <xf borderId="1" fillId="2" fontId="8" numFmtId="0" xfId="0" applyAlignment="1" applyBorder="1" applyFont="1">
      <alignment horizontal="center" readingOrder="0" shrinkToFit="0" vertical="bottom" wrapText="0"/>
    </xf>
    <xf borderId="0" fillId="0" fontId="6" numFmtId="165" xfId="0" applyAlignment="1" applyFont="1" applyNumberFormat="1">
      <alignment horizontal="center" readingOrder="0" shrinkToFit="0" vertical="bottom" wrapText="0"/>
    </xf>
    <xf borderId="0" fillId="0" fontId="6" numFmtId="164" xfId="0" applyAlignment="1" applyFont="1" applyNumberFormat="1">
      <alignment horizontal="center" readingOrder="0" shrinkToFit="0" vertical="bottom" wrapText="0"/>
    </xf>
    <xf borderId="1" fillId="5" fontId="3" numFmtId="0" xfId="0" applyAlignment="1" applyBorder="1" applyFill="1" applyFont="1">
      <alignment horizontal="center" shrinkToFit="0" vertical="bottom" wrapText="0"/>
    </xf>
    <xf borderId="1" fillId="5" fontId="3" numFmtId="165" xfId="0" applyAlignment="1" applyBorder="1" applyFont="1" applyNumberFormat="1">
      <alignment shrinkToFit="0" vertical="bottom" wrapText="0"/>
    </xf>
    <xf borderId="1" fillId="6" fontId="3" numFmtId="0" xfId="0" applyAlignment="1" applyBorder="1" applyFill="1" applyFont="1">
      <alignment horizontal="center" shrinkToFit="0" vertical="bottom" wrapText="0"/>
    </xf>
    <xf borderId="1" fillId="6" fontId="3" numFmtId="165" xfId="0" applyAlignment="1" applyBorder="1" applyFont="1" applyNumberFormat="1">
      <alignment shrinkToFit="0" vertical="bottom" wrapText="0"/>
    </xf>
    <xf borderId="1" fillId="7" fontId="3" numFmtId="0" xfId="0" applyAlignment="1" applyBorder="1" applyFill="1" applyFont="1">
      <alignment horizontal="center" shrinkToFit="0" vertical="bottom" wrapText="0"/>
    </xf>
    <xf borderId="0" fillId="0" fontId="3" numFmtId="164" xfId="0" applyAlignment="1" applyFont="1" applyNumberFormat="1">
      <alignment horizontal="center" readingOrder="0" shrinkToFit="0" vertical="bottom" wrapText="0"/>
    </xf>
    <xf borderId="0" fillId="2" fontId="9" numFmtId="0" xfId="0" applyAlignment="1" applyFont="1">
      <alignment horizontal="center" readingOrder="0" shrinkToFit="0" vertical="bottom" wrapText="0"/>
    </xf>
    <xf borderId="0" fillId="2" fontId="10" numFmtId="0" xfId="0" applyAlignment="1" applyFont="1">
      <alignment horizontal="center" readingOrder="0" shrinkToFit="0" vertical="bottom" wrapText="0"/>
    </xf>
    <xf borderId="0" fillId="0" fontId="11" numFmtId="0" xfId="0" applyAlignment="1" applyFont="1">
      <alignment shrinkToFit="0" vertical="bottom" wrapText="0"/>
    </xf>
    <xf borderId="0" fillId="0" fontId="11" numFmtId="0" xfId="0" applyAlignment="1" applyFont="1">
      <alignment horizontal="center" readingOrder="0" shrinkToFit="0" vertical="bottom" wrapText="0"/>
    </xf>
    <xf borderId="0" fillId="8" fontId="6" numFmtId="0" xfId="0" applyAlignment="1" applyFill="1" applyFont="1">
      <alignment horizontal="center" readingOrder="0" shrinkToFit="0" vertical="bottom" wrapText="0"/>
    </xf>
    <xf borderId="0" fillId="3" fontId="11" numFmtId="0" xfId="0" applyAlignment="1" applyFont="1">
      <alignment horizontal="center" readingOrder="0" shrinkToFit="0" vertical="bottom" wrapText="0"/>
    </xf>
    <xf borderId="0" fillId="9" fontId="6" numFmtId="166" xfId="0" applyAlignment="1" applyFill="1" applyFont="1" applyNumberFormat="1">
      <alignment horizontal="center" readingOrder="0" shrinkToFit="0" vertical="bottom" wrapText="0"/>
    </xf>
    <xf borderId="0" fillId="9" fontId="6" numFmtId="167" xfId="0" applyAlignment="1" applyFont="1" applyNumberFormat="1">
      <alignment horizontal="center" readingOrder="0" shrinkToFit="0" vertical="bottom" wrapText="0"/>
    </xf>
    <xf borderId="0" fillId="0" fontId="11" numFmtId="165" xfId="0" applyAlignment="1" applyFont="1" applyNumberFormat="1">
      <alignment horizontal="center" readingOrder="0" shrinkToFit="0" vertical="bottom" wrapText="0"/>
    </xf>
    <xf borderId="0" fillId="0" fontId="11" numFmtId="0" xfId="0" applyAlignment="1" applyFont="1">
      <alignment horizontal="center" shrinkToFit="0" vertical="bottom" wrapText="0"/>
    </xf>
    <xf borderId="0" fillId="4" fontId="6" numFmtId="0" xfId="0" applyAlignment="1" applyFont="1">
      <alignment horizontal="center" readingOrder="0" shrinkToFit="0" vertical="bottom" wrapText="0"/>
    </xf>
    <xf borderId="0" fillId="0" fontId="11" numFmtId="165" xfId="0" applyAlignment="1" applyFont="1" applyNumberFormat="1">
      <alignment horizontal="center" shrinkToFit="0" vertical="bottom" wrapText="0"/>
    </xf>
    <xf borderId="0" fillId="0" fontId="11" numFmtId="165" xfId="0" applyAlignment="1" applyFont="1" applyNumberFormat="1">
      <alignment shrinkToFit="0" vertical="bottom" wrapText="0"/>
    </xf>
    <xf borderId="0" fillId="4" fontId="6" numFmtId="3" xfId="0" applyAlignment="1" applyFont="1" applyNumberFormat="1">
      <alignment horizontal="center" readingOrder="0" shrinkToFit="0" vertical="bottom" wrapText="0"/>
    </xf>
    <xf borderId="0" fillId="4" fontId="11" numFmtId="0" xfId="0" applyAlignment="1" applyFont="1">
      <alignment horizontal="center" readingOrder="0" shrinkToFit="0" vertical="bottom" wrapText="0"/>
    </xf>
    <xf borderId="0" fillId="8" fontId="11" numFmtId="3" xfId="0" applyAlignment="1" applyFont="1" applyNumberFormat="1">
      <alignment horizontal="center" readingOrder="0" shrinkToFit="0" vertical="bottom" wrapText="0"/>
    </xf>
    <xf borderId="0" fillId="8" fontId="11" numFmtId="0" xfId="0" applyAlignment="1" applyFont="1">
      <alignment horizontal="center" readingOrder="0" shrinkToFit="0" vertical="bottom" wrapText="0"/>
    </xf>
    <xf borderId="0" fillId="4" fontId="11" numFmtId="3" xfId="0" applyAlignment="1" applyFont="1" applyNumberFormat="1">
      <alignment horizontal="center" readingOrder="0" shrinkToFit="0" vertical="bottom" wrapText="0"/>
    </xf>
    <xf borderId="0" fillId="10" fontId="11" numFmtId="0" xfId="0" applyAlignment="1" applyFill="1" applyFont="1">
      <alignment horizontal="center" readingOrder="0" shrinkToFit="0" vertical="bottom" wrapText="0"/>
    </xf>
    <xf borderId="0" fillId="10" fontId="11" numFmtId="3" xfId="0" applyAlignment="1" applyFont="1" applyNumberFormat="1">
      <alignment horizontal="center" readingOrder="0" shrinkToFit="0" vertical="bottom" wrapText="0"/>
    </xf>
    <xf borderId="0" fillId="8" fontId="6" numFmtId="3" xfId="0" applyAlignment="1" applyFont="1" applyNumberFormat="1">
      <alignment horizontal="center" readingOrder="0" shrinkToFit="0" vertical="bottom" wrapText="0"/>
    </xf>
    <xf borderId="0" fillId="11" fontId="11" numFmtId="0" xfId="0" applyAlignment="1" applyFill="1" applyFont="1">
      <alignment horizontal="center" readingOrder="0" shrinkToFit="0" vertical="bottom" wrapText="0"/>
    </xf>
    <xf borderId="0" fillId="11" fontId="11" numFmtId="3" xfId="0" applyAlignment="1" applyFont="1" applyNumberFormat="1">
      <alignment horizontal="center" readingOrder="0" shrinkToFit="0" vertical="bottom" wrapText="0"/>
    </xf>
    <xf borderId="0" fillId="2" fontId="9" numFmtId="165" xfId="0" applyAlignment="1" applyFont="1" applyNumberFormat="1">
      <alignment horizontal="center"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8" fontId="6" numFmtId="2" xfId="0" applyAlignment="1" applyFont="1" applyNumberFormat="1">
      <alignment horizontal="center" readingOrder="0" shrinkToFit="0" vertical="bottom" wrapText="0"/>
    </xf>
    <xf borderId="0" fillId="8" fontId="6" numFmtId="2" xfId="0" applyAlignment="1" applyFont="1" applyNumberFormat="1">
      <alignment horizontal="center" readingOrder="0" shrinkToFit="0" vertical="bottom" wrapText="0"/>
    </xf>
    <xf borderId="0" fillId="8" fontId="6" numFmtId="168" xfId="0" applyAlignment="1" applyFont="1" applyNumberFormat="1">
      <alignment horizontal="center" readingOrder="0" shrinkToFit="0" vertical="bottom" wrapText="0"/>
    </xf>
    <xf borderId="0" fillId="8" fontId="6" numFmtId="4" xfId="0" applyAlignment="1" applyFont="1" applyNumberFormat="1">
      <alignment horizontal="center" readingOrder="0" shrinkToFit="0" vertical="bottom" wrapText="0"/>
    </xf>
    <xf borderId="0" fillId="4" fontId="6" numFmtId="4" xfId="0" applyAlignment="1" applyFont="1" applyNumberFormat="1">
      <alignment horizontal="center" readingOrder="0" shrinkToFit="0" vertical="bottom" wrapText="0"/>
    </xf>
    <xf borderId="0" fillId="12" fontId="6" numFmtId="3" xfId="0" applyAlignment="1" applyFill="1" applyFont="1" applyNumberFormat="1">
      <alignment horizontal="center" readingOrder="0" shrinkToFit="0" vertical="bottom" wrapText="0"/>
    </xf>
    <xf borderId="0" fillId="12" fontId="6" numFmtId="0" xfId="0" applyAlignment="1" applyFont="1">
      <alignment horizontal="center" readingOrder="0" shrinkToFit="0" vertical="bottom" wrapText="0"/>
    </xf>
    <xf borderId="0" fillId="12" fontId="6" numFmtId="168" xfId="0" applyAlignment="1" applyFont="1" applyNumberFormat="1">
      <alignment horizontal="center" readingOrder="0" shrinkToFit="0" vertical="bottom" wrapText="0"/>
    </xf>
    <xf borderId="0" fillId="8" fontId="11" numFmtId="168" xfId="0" applyAlignment="1" applyFont="1" applyNumberFormat="1">
      <alignment horizontal="center" readingOrder="0" shrinkToFit="0" vertical="bottom" wrapText="0"/>
    </xf>
    <xf borderId="0" fillId="4" fontId="11" numFmtId="168" xfId="0" applyAlignment="1" applyFont="1" applyNumberFormat="1">
      <alignment horizontal="center" readingOrder="0" shrinkToFit="0" vertical="bottom" wrapText="0"/>
    </xf>
    <xf borderId="0" fillId="7" fontId="11" numFmtId="168" xfId="0" applyAlignment="1" applyFont="1" applyNumberFormat="1">
      <alignment horizontal="center" readingOrder="0" shrinkToFit="0" vertical="bottom" wrapText="0"/>
    </xf>
    <xf borderId="0" fillId="7" fontId="6" numFmtId="168" xfId="0" applyAlignment="1" applyFont="1" applyNumberFormat="1">
      <alignment horizontal="center" readingOrder="0" shrinkToFit="0" vertical="bottom" wrapText="0"/>
    </xf>
    <xf borderId="0" fillId="8" fontId="6" numFmtId="166" xfId="0" applyAlignment="1" applyFont="1" applyNumberFormat="1">
      <alignment horizontal="center" readingOrder="0" shrinkToFit="0" vertical="bottom" wrapText="0"/>
    </xf>
    <xf borderId="0" fillId="8" fontId="6" numFmtId="167" xfId="0" applyAlignment="1" applyFont="1" applyNumberFormat="1">
      <alignment horizontal="center" readingOrder="0" shrinkToFit="0" vertical="bottom" wrapText="0"/>
    </xf>
    <xf borderId="0" fillId="4" fontId="6" numFmtId="167" xfId="0" applyAlignment="1" applyFont="1" applyNumberFormat="1">
      <alignment horizontal="center" readingOrder="0" shrinkToFit="0" vertical="bottom" wrapText="0"/>
    </xf>
    <xf borderId="0" fillId="4" fontId="6" numFmtId="166" xfId="0" applyAlignment="1" applyFont="1" applyNumberFormat="1">
      <alignment horizontal="center" readingOrder="0" shrinkToFit="0" vertical="bottom" wrapText="0"/>
    </xf>
    <xf borderId="0" fillId="12" fontId="6" numFmtId="166" xfId="0" applyAlignment="1" applyFont="1" applyNumberFormat="1">
      <alignment horizontal="center" readingOrder="0" shrinkToFit="0" vertical="bottom" wrapText="0"/>
    </xf>
    <xf borderId="0" fillId="12" fontId="6" numFmtId="4" xfId="0" applyAlignment="1" applyFont="1" applyNumberFormat="1">
      <alignment horizontal="center" readingOrder="0" shrinkToFit="0" vertical="bottom" wrapText="0"/>
    </xf>
    <xf borderId="0" fillId="0" fontId="11" numFmtId="169" xfId="0" applyAlignment="1" applyFont="1" applyNumberFormat="1">
      <alignment horizontal="center" readingOrder="0" shrinkToFit="0" vertical="bottom" wrapText="0"/>
    </xf>
    <xf borderId="1" fillId="8" fontId="3" numFmtId="0" xfId="0" applyAlignment="1" applyBorder="1" applyFont="1">
      <alignment horizontal="center" shrinkToFit="0" vertical="bottom" wrapText="0"/>
    </xf>
    <xf borderId="1" fillId="12" fontId="3" numFmtId="0" xfId="0" applyAlignment="1" applyBorder="1" applyFont="1">
      <alignment horizontal="center" shrinkToFit="0" vertical="bottom" wrapText="0"/>
    </xf>
    <xf borderId="1" fillId="8" fontId="3" numFmtId="0" xfId="0" applyAlignment="1" applyBorder="1" applyFont="1">
      <alignment shrinkToFit="0" vertical="bottom" wrapText="0"/>
    </xf>
    <xf borderId="1" fillId="8" fontId="3" numFmtId="170" xfId="0" applyAlignment="1" applyBorder="1" applyFont="1" applyNumberFormat="1">
      <alignment shrinkToFit="0" vertical="bottom" wrapText="0"/>
    </xf>
    <xf borderId="1" fillId="9" fontId="3" numFmtId="0" xfId="0" applyAlignment="1" applyBorder="1" applyFont="1">
      <alignment horizontal="center" shrinkToFit="0" vertical="bottom" wrapText="0"/>
    </xf>
    <xf borderId="1" fillId="13" fontId="3" numFmtId="0" xfId="0" applyAlignment="1" applyBorder="1" applyFill="1" applyFont="1">
      <alignment horizontal="center" shrinkToFit="0" vertical="bottom" wrapText="0"/>
    </xf>
    <xf borderId="1" fillId="13" fontId="3" numFmtId="165" xfId="0" applyAlignment="1" applyBorder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24.38"/>
    <col customWidth="1" min="3" max="3" width="21.63"/>
    <col customWidth="1" min="4" max="4" width="11.13"/>
    <col customWidth="1" min="5" max="5" width="17.25"/>
    <col customWidth="1" min="6" max="6" width="22.63"/>
    <col customWidth="1" min="7" max="8" width="22.75"/>
    <col customWidth="1" min="9" max="9" width="29.0"/>
    <col customWidth="1" min="10" max="10" width="14.13"/>
    <col customWidth="1" min="11" max="14" width="9.38"/>
    <col customWidth="1" min="15" max="26" width="8.63"/>
  </cols>
  <sheetData>
    <row r="1">
      <c r="A1" s="1" t="s">
        <v>0</v>
      </c>
      <c r="B1" s="2"/>
      <c r="C1" s="2"/>
      <c r="D1" s="3"/>
      <c r="E1" s="3"/>
      <c r="F1" s="3"/>
      <c r="G1" s="3"/>
      <c r="H1" s="4"/>
      <c r="I1" s="4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4"/>
      <c r="I2" s="4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1</v>
      </c>
      <c r="B3" s="5"/>
      <c r="C3" s="5" t="s">
        <v>2</v>
      </c>
      <c r="D3" s="5" t="s">
        <v>3</v>
      </c>
      <c r="E3" s="5" t="s">
        <v>4</v>
      </c>
      <c r="F3" s="5" t="s">
        <v>5</v>
      </c>
      <c r="G3" s="6" t="s">
        <v>6</v>
      </c>
      <c r="H3" s="5" t="s">
        <v>7</v>
      </c>
      <c r="I3" s="5" t="s">
        <v>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7">
        <v>46097.0</v>
      </c>
      <c r="B4" s="4">
        <v>1.0</v>
      </c>
      <c r="C4" s="4" t="s">
        <v>9</v>
      </c>
      <c r="D4" s="4">
        <v>1.665</v>
      </c>
      <c r="E4" s="8">
        <f>(D4*250)</f>
        <v>416.25</v>
      </c>
      <c r="F4" s="8">
        <f t="shared" ref="F4:F10" si="1">(D4*230)</f>
        <v>382.95</v>
      </c>
      <c r="G4" s="4" t="s">
        <v>10</v>
      </c>
      <c r="H4" s="4" t="s">
        <v>11</v>
      </c>
      <c r="I4" s="4" t="s">
        <v>11</v>
      </c>
      <c r="J4" s="3"/>
      <c r="K4" s="3"/>
      <c r="L4" s="8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7">
        <v>46098.0</v>
      </c>
      <c r="B5" s="4">
        <v>2.0</v>
      </c>
      <c r="C5" s="4" t="s">
        <v>9</v>
      </c>
      <c r="D5" s="4">
        <v>1.68</v>
      </c>
      <c r="E5" s="8"/>
      <c r="F5" s="8">
        <f t="shared" si="1"/>
        <v>386.4</v>
      </c>
      <c r="G5" s="4" t="s">
        <v>10</v>
      </c>
      <c r="H5" s="4" t="s">
        <v>11</v>
      </c>
      <c r="I5" s="4" t="s">
        <v>11</v>
      </c>
      <c r="J5" s="3"/>
      <c r="K5" s="3"/>
      <c r="L5" s="8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7">
        <v>46099.0</v>
      </c>
      <c r="B6" s="4">
        <v>3.0</v>
      </c>
      <c r="C6" s="4" t="s">
        <v>9</v>
      </c>
      <c r="D6" s="4">
        <v>1.66</v>
      </c>
      <c r="E6" s="8"/>
      <c r="F6" s="8">
        <f t="shared" si="1"/>
        <v>381.8</v>
      </c>
      <c r="G6" s="4" t="s">
        <v>10</v>
      </c>
      <c r="H6" s="4" t="s">
        <v>11</v>
      </c>
      <c r="I6" s="4" t="s">
        <v>11</v>
      </c>
      <c r="J6" s="3"/>
      <c r="K6" s="3"/>
      <c r="L6" s="8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7">
        <v>46100.0</v>
      </c>
      <c r="B7" s="4">
        <v>4.0</v>
      </c>
      <c r="C7" s="4" t="s">
        <v>9</v>
      </c>
      <c r="D7" s="4">
        <v>1.63</v>
      </c>
      <c r="E7" s="8"/>
      <c r="F7" s="8">
        <f t="shared" si="1"/>
        <v>374.9</v>
      </c>
      <c r="G7" s="4" t="s">
        <v>10</v>
      </c>
      <c r="H7" s="4" t="s">
        <v>11</v>
      </c>
      <c r="I7" s="4" t="s">
        <v>11</v>
      </c>
      <c r="J7" s="3"/>
      <c r="K7" s="3"/>
      <c r="L7" s="8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7">
        <v>46101.0</v>
      </c>
      <c r="B8" s="4">
        <v>5.0</v>
      </c>
      <c r="C8" s="4" t="s">
        <v>9</v>
      </c>
      <c r="D8" s="4">
        <v>1.665</v>
      </c>
      <c r="E8" s="8"/>
      <c r="F8" s="8">
        <f t="shared" si="1"/>
        <v>382.95</v>
      </c>
      <c r="G8" s="4" t="s">
        <v>10</v>
      </c>
      <c r="H8" s="4" t="s">
        <v>11</v>
      </c>
      <c r="I8" s="4" t="s">
        <v>11</v>
      </c>
      <c r="J8" s="9"/>
      <c r="K8" s="4"/>
      <c r="L8" s="8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7">
        <v>46102.0</v>
      </c>
      <c r="B9" s="4">
        <v>6.0</v>
      </c>
      <c r="C9" s="4" t="s">
        <v>9</v>
      </c>
      <c r="D9" s="4">
        <v>1.605</v>
      </c>
      <c r="E9" s="8"/>
      <c r="F9" s="8">
        <f t="shared" si="1"/>
        <v>369.15</v>
      </c>
      <c r="G9" s="4" t="s">
        <v>12</v>
      </c>
      <c r="H9" s="4" t="s">
        <v>11</v>
      </c>
      <c r="I9" s="4" t="s">
        <v>11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7">
        <v>46106.0</v>
      </c>
      <c r="B10" s="4">
        <v>10.0</v>
      </c>
      <c r="C10" s="4" t="s">
        <v>9</v>
      </c>
      <c r="D10" s="4">
        <v>1.84</v>
      </c>
      <c r="E10" s="8"/>
      <c r="F10" s="8">
        <f t="shared" si="1"/>
        <v>423.2</v>
      </c>
      <c r="G10" s="4" t="s">
        <v>12</v>
      </c>
      <c r="H10" s="4" t="s">
        <v>11</v>
      </c>
      <c r="I10" s="4" t="s">
        <v>11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 t="s">
        <v>1</v>
      </c>
      <c r="B11" s="5" t="s">
        <v>13</v>
      </c>
      <c r="C11" s="5" t="s">
        <v>2</v>
      </c>
      <c r="D11" s="5" t="s">
        <v>3</v>
      </c>
      <c r="E11" s="5" t="s">
        <v>4</v>
      </c>
      <c r="F11" s="5" t="s">
        <v>5</v>
      </c>
      <c r="G11" s="6" t="s">
        <v>14</v>
      </c>
      <c r="H11" s="5" t="s">
        <v>7</v>
      </c>
      <c r="I11" s="5" t="s">
        <v>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7">
        <v>46105.0</v>
      </c>
      <c r="B12" s="4">
        <v>1.0</v>
      </c>
      <c r="C12" s="4" t="s">
        <v>15</v>
      </c>
      <c r="D12" s="4">
        <v>2.165</v>
      </c>
      <c r="E12" s="8">
        <f t="shared" ref="E12:E14" si="2">(D12*230)</f>
        <v>497.95</v>
      </c>
      <c r="F12" s="8">
        <f t="shared" ref="F12:F14" si="3">(D12*192)</f>
        <v>415.68</v>
      </c>
      <c r="G12" s="4" t="s">
        <v>16</v>
      </c>
      <c r="H12" s="4" t="s">
        <v>11</v>
      </c>
      <c r="I12" s="4" t="s">
        <v>11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7">
        <v>46105.0</v>
      </c>
      <c r="B13" s="4">
        <v>6.0</v>
      </c>
      <c r="C13" s="4" t="s">
        <v>15</v>
      </c>
      <c r="D13" s="4">
        <v>1.96</v>
      </c>
      <c r="E13" s="10">
        <f t="shared" si="2"/>
        <v>450.8</v>
      </c>
      <c r="F13" s="8">
        <f t="shared" si="3"/>
        <v>376.32</v>
      </c>
      <c r="G13" s="4" t="s">
        <v>17</v>
      </c>
      <c r="H13" s="4" t="s">
        <v>11</v>
      </c>
      <c r="I13" s="4" t="s">
        <v>11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7">
        <v>46105.0</v>
      </c>
      <c r="B14" s="4">
        <v>12.0</v>
      </c>
      <c r="C14" s="4" t="s">
        <v>15</v>
      </c>
      <c r="D14" s="4">
        <v>1.57</v>
      </c>
      <c r="E14" s="8">
        <f t="shared" si="2"/>
        <v>361.1</v>
      </c>
      <c r="F14" s="8">
        <f t="shared" si="3"/>
        <v>301.44</v>
      </c>
      <c r="G14" s="4" t="s">
        <v>18</v>
      </c>
      <c r="H14" s="4" t="s">
        <v>11</v>
      </c>
      <c r="I14" s="11" t="s">
        <v>19</v>
      </c>
      <c r="J14" s="3"/>
      <c r="K14" s="3"/>
      <c r="L14" s="4"/>
      <c r="M14" s="4"/>
      <c r="N14" s="4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7">
        <v>46113.0</v>
      </c>
      <c r="B15" s="4">
        <v>1.0</v>
      </c>
      <c r="C15" s="4" t="s">
        <v>15</v>
      </c>
      <c r="D15" s="4">
        <v>2.26</v>
      </c>
      <c r="E15" s="8"/>
      <c r="F15" s="8"/>
      <c r="G15" s="4" t="s">
        <v>20</v>
      </c>
      <c r="H15" s="4" t="s">
        <v>11</v>
      </c>
      <c r="I15" s="11" t="s">
        <v>21</v>
      </c>
      <c r="J15" s="3"/>
      <c r="K15" s="3"/>
      <c r="L15" s="4"/>
      <c r="M15" s="4"/>
      <c r="N15" s="4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7">
        <v>46113.0</v>
      </c>
      <c r="B16" s="4">
        <v>2.0</v>
      </c>
      <c r="C16" s="4" t="s">
        <v>15</v>
      </c>
      <c r="D16" s="4">
        <v>2.13</v>
      </c>
      <c r="E16" s="8"/>
      <c r="F16" s="8"/>
      <c r="G16" s="4" t="s">
        <v>22</v>
      </c>
      <c r="H16" s="4" t="s">
        <v>11</v>
      </c>
      <c r="I16" s="11" t="s">
        <v>21</v>
      </c>
      <c r="J16" s="3"/>
      <c r="K16" s="3"/>
      <c r="L16" s="4"/>
      <c r="M16" s="4"/>
      <c r="N16" s="4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7">
        <v>46113.0</v>
      </c>
      <c r="B17" s="4">
        <v>3.0</v>
      </c>
      <c r="C17" s="4" t="s">
        <v>15</v>
      </c>
      <c r="D17" s="4">
        <v>2.18</v>
      </c>
      <c r="E17" s="8"/>
      <c r="F17" s="8"/>
      <c r="G17" s="4" t="s">
        <v>23</v>
      </c>
      <c r="H17" s="4" t="s">
        <v>11</v>
      </c>
      <c r="I17" s="11" t="s">
        <v>21</v>
      </c>
      <c r="J17" s="3"/>
      <c r="K17" s="3"/>
      <c r="L17" s="4"/>
      <c r="M17" s="4"/>
      <c r="N17" s="4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7">
        <v>46113.0</v>
      </c>
      <c r="B18" s="4">
        <v>4.0</v>
      </c>
      <c r="C18" s="4" t="s">
        <v>15</v>
      </c>
      <c r="D18" s="4">
        <v>2.1</v>
      </c>
      <c r="E18" s="8"/>
      <c r="F18" s="8"/>
      <c r="G18" s="4" t="s">
        <v>24</v>
      </c>
      <c r="H18" s="4" t="s">
        <v>11</v>
      </c>
      <c r="I18" s="11" t="s">
        <v>21</v>
      </c>
      <c r="J18" s="3"/>
      <c r="K18" s="3"/>
      <c r="L18" s="4"/>
      <c r="M18" s="4"/>
      <c r="N18" s="4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7">
        <v>46113.0</v>
      </c>
      <c r="B19" s="4">
        <v>5.0</v>
      </c>
      <c r="C19" s="4" t="s">
        <v>15</v>
      </c>
      <c r="D19" s="4">
        <v>2.15</v>
      </c>
      <c r="E19" s="8"/>
      <c r="F19" s="8"/>
      <c r="G19" s="4" t="s">
        <v>25</v>
      </c>
      <c r="H19" s="4" t="s">
        <v>11</v>
      </c>
      <c r="I19" s="11" t="s">
        <v>21</v>
      </c>
      <c r="J19" s="3"/>
      <c r="K19" s="3"/>
      <c r="L19" s="4"/>
      <c r="M19" s="4"/>
      <c r="N19" s="4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5" t="s">
        <v>1</v>
      </c>
      <c r="B20" s="5" t="s">
        <v>13</v>
      </c>
      <c r="C20" s="5" t="s">
        <v>2</v>
      </c>
      <c r="D20" s="5" t="s">
        <v>3</v>
      </c>
      <c r="E20" s="5" t="s">
        <v>4</v>
      </c>
      <c r="F20" s="5" t="s">
        <v>5</v>
      </c>
      <c r="G20" s="6" t="s">
        <v>14</v>
      </c>
      <c r="H20" s="5" t="s">
        <v>7</v>
      </c>
      <c r="I20" s="5" t="s">
        <v>8</v>
      </c>
      <c r="J20" s="3"/>
      <c r="K20" s="3"/>
      <c r="L20" s="4"/>
      <c r="M20" s="4"/>
      <c r="N20" s="4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7">
        <v>46119.0</v>
      </c>
      <c r="B21" s="4">
        <v>1.0</v>
      </c>
      <c r="C21" s="4" t="s">
        <v>15</v>
      </c>
      <c r="D21" s="4">
        <v>2.095</v>
      </c>
      <c r="E21" s="8"/>
      <c r="F21" s="8">
        <f t="shared" ref="F21:F34" si="4">(D21*174)</f>
        <v>364.53</v>
      </c>
      <c r="G21" s="4" t="s">
        <v>26</v>
      </c>
      <c r="H21" s="4" t="s">
        <v>11</v>
      </c>
      <c r="I21" s="4" t="s">
        <v>11</v>
      </c>
      <c r="J21" s="3"/>
      <c r="K21" s="3"/>
      <c r="L21" s="4"/>
      <c r="M21" s="4"/>
      <c r="N21" s="4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7">
        <v>46119.0</v>
      </c>
      <c r="B22" s="4">
        <v>2.0</v>
      </c>
      <c r="C22" s="4" t="s">
        <v>15</v>
      </c>
      <c r="D22" s="4">
        <v>2.39</v>
      </c>
      <c r="E22" s="8"/>
      <c r="F22" s="8">
        <f t="shared" si="4"/>
        <v>415.86</v>
      </c>
      <c r="G22" s="4" t="s">
        <v>26</v>
      </c>
      <c r="H22" s="4" t="s">
        <v>11</v>
      </c>
      <c r="I22" s="4" t="s">
        <v>11</v>
      </c>
      <c r="J22" s="3"/>
      <c r="K22" s="3"/>
      <c r="L22" s="4"/>
      <c r="M22" s="4"/>
      <c r="N22" s="4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7">
        <v>46119.0</v>
      </c>
      <c r="B23" s="4">
        <v>3.0</v>
      </c>
      <c r="C23" s="4" t="s">
        <v>15</v>
      </c>
      <c r="D23" s="4">
        <v>2.35</v>
      </c>
      <c r="E23" s="8"/>
      <c r="F23" s="8">
        <f t="shared" si="4"/>
        <v>408.9</v>
      </c>
      <c r="G23" s="4" t="s">
        <v>26</v>
      </c>
      <c r="H23" s="4" t="s">
        <v>11</v>
      </c>
      <c r="I23" s="4" t="s">
        <v>11</v>
      </c>
      <c r="J23" s="3"/>
      <c r="K23" s="3"/>
      <c r="L23" s="4"/>
      <c r="M23" s="4"/>
      <c r="N23" s="4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7">
        <v>46119.0</v>
      </c>
      <c r="B24" s="4">
        <v>4.0</v>
      </c>
      <c r="C24" s="4" t="s">
        <v>15</v>
      </c>
      <c r="D24" s="4">
        <v>2.255</v>
      </c>
      <c r="E24" s="8"/>
      <c r="F24" s="8">
        <f t="shared" si="4"/>
        <v>392.37</v>
      </c>
      <c r="G24" s="4" t="s">
        <v>26</v>
      </c>
      <c r="H24" s="4" t="s">
        <v>11</v>
      </c>
      <c r="I24" s="4" t="s">
        <v>11</v>
      </c>
      <c r="J24" s="3"/>
      <c r="K24" s="3"/>
      <c r="L24" s="4"/>
      <c r="M24" s="4"/>
      <c r="N24" s="4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7">
        <v>46119.0</v>
      </c>
      <c r="B25" s="4">
        <v>5.0</v>
      </c>
      <c r="C25" s="4" t="s">
        <v>15</v>
      </c>
      <c r="D25" s="4">
        <v>2.355</v>
      </c>
      <c r="E25" s="8"/>
      <c r="F25" s="8">
        <f t="shared" si="4"/>
        <v>409.77</v>
      </c>
      <c r="G25" s="4" t="s">
        <v>26</v>
      </c>
      <c r="H25" s="4" t="s">
        <v>11</v>
      </c>
      <c r="I25" s="4" t="s">
        <v>11</v>
      </c>
      <c r="J25" s="3"/>
      <c r="K25" s="3"/>
      <c r="L25" s="4"/>
      <c r="M25" s="4"/>
      <c r="N25" s="4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7">
        <v>46119.0</v>
      </c>
      <c r="B26" s="4">
        <v>6.0</v>
      </c>
      <c r="C26" s="4" t="s">
        <v>15</v>
      </c>
      <c r="D26" s="4">
        <v>2.05</v>
      </c>
      <c r="E26" s="8"/>
      <c r="F26" s="8">
        <f t="shared" si="4"/>
        <v>356.7</v>
      </c>
      <c r="G26" s="4" t="s">
        <v>26</v>
      </c>
      <c r="H26" s="4" t="s">
        <v>11</v>
      </c>
      <c r="I26" s="4" t="s">
        <v>11</v>
      </c>
      <c r="J26" s="3"/>
      <c r="K26" s="3"/>
      <c r="L26" s="4"/>
      <c r="M26" s="4"/>
      <c r="N26" s="4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7">
        <v>46119.0</v>
      </c>
      <c r="B27" s="4">
        <v>7.0</v>
      </c>
      <c r="C27" s="4" t="s">
        <v>15</v>
      </c>
      <c r="D27" s="4">
        <v>2.19</v>
      </c>
      <c r="E27" s="8"/>
      <c r="F27" s="8">
        <f t="shared" si="4"/>
        <v>381.06</v>
      </c>
      <c r="G27" s="4" t="s">
        <v>26</v>
      </c>
      <c r="H27" s="4" t="s">
        <v>11</v>
      </c>
      <c r="I27" s="4" t="s">
        <v>11</v>
      </c>
      <c r="J27" s="3"/>
      <c r="K27" s="3"/>
      <c r="L27" s="4"/>
      <c r="M27" s="4"/>
      <c r="N27" s="4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7">
        <v>46119.0</v>
      </c>
      <c r="B28" s="4">
        <v>8.0</v>
      </c>
      <c r="C28" s="4" t="s">
        <v>15</v>
      </c>
      <c r="D28" s="4">
        <v>2.325</v>
      </c>
      <c r="E28" s="8"/>
      <c r="F28" s="8">
        <f t="shared" si="4"/>
        <v>404.55</v>
      </c>
      <c r="G28" s="4" t="s">
        <v>26</v>
      </c>
      <c r="H28" s="4" t="s">
        <v>11</v>
      </c>
      <c r="I28" s="4" t="s">
        <v>11</v>
      </c>
      <c r="J28" s="3"/>
      <c r="K28" s="3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7">
        <v>46119.0</v>
      </c>
      <c r="B29" s="4">
        <v>9.0</v>
      </c>
      <c r="C29" s="4" t="s">
        <v>15</v>
      </c>
      <c r="D29" s="4">
        <v>2.355</v>
      </c>
      <c r="E29" s="8"/>
      <c r="F29" s="8">
        <f t="shared" si="4"/>
        <v>409.77</v>
      </c>
      <c r="G29" s="4" t="s">
        <v>26</v>
      </c>
      <c r="H29" s="4" t="s">
        <v>11</v>
      </c>
      <c r="I29" s="4" t="s">
        <v>11</v>
      </c>
      <c r="J29" s="3"/>
      <c r="K29" s="3"/>
      <c r="L29" s="4"/>
      <c r="M29" s="4"/>
      <c r="N29" s="4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7">
        <v>46119.0</v>
      </c>
      <c r="B30" s="4">
        <v>10.0</v>
      </c>
      <c r="C30" s="4" t="s">
        <v>15</v>
      </c>
      <c r="D30" s="4">
        <v>2.505</v>
      </c>
      <c r="E30" s="8"/>
      <c r="F30" s="8">
        <f t="shared" si="4"/>
        <v>435.87</v>
      </c>
      <c r="G30" s="4" t="s">
        <v>26</v>
      </c>
      <c r="H30" s="4" t="s">
        <v>11</v>
      </c>
      <c r="I30" s="4" t="s">
        <v>11</v>
      </c>
      <c r="J30" s="3"/>
      <c r="K30" s="3"/>
      <c r="L30" s="4"/>
      <c r="M30" s="4"/>
      <c r="N30" s="4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7">
        <v>46127.0</v>
      </c>
      <c r="B31" s="4">
        <v>18.0</v>
      </c>
      <c r="C31" s="4" t="s">
        <v>15</v>
      </c>
      <c r="D31" s="4">
        <v>2.38</v>
      </c>
      <c r="E31" s="3"/>
      <c r="F31" s="8">
        <f t="shared" si="4"/>
        <v>414.12</v>
      </c>
      <c r="G31" s="3" t="s">
        <v>27</v>
      </c>
      <c r="H31" s="4" t="s">
        <v>11</v>
      </c>
      <c r="I31" s="4" t="s">
        <v>28</v>
      </c>
      <c r="J31" s="3"/>
      <c r="K31" s="3"/>
      <c r="L31" s="4"/>
      <c r="M31" s="4"/>
      <c r="N31" s="4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7">
        <v>46127.0</v>
      </c>
      <c r="B32" s="4">
        <v>19.0</v>
      </c>
      <c r="C32" s="4" t="s">
        <v>15</v>
      </c>
      <c r="D32" s="4">
        <v>2.39</v>
      </c>
      <c r="E32" s="3"/>
      <c r="F32" s="8">
        <f t="shared" si="4"/>
        <v>415.86</v>
      </c>
      <c r="G32" s="3" t="s">
        <v>23</v>
      </c>
      <c r="H32" s="4" t="s">
        <v>11</v>
      </c>
      <c r="I32" s="4" t="s">
        <v>28</v>
      </c>
      <c r="J32" s="3"/>
      <c r="K32" s="3"/>
      <c r="L32" s="4"/>
      <c r="M32" s="4"/>
      <c r="N32" s="4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7">
        <v>46127.0</v>
      </c>
      <c r="B33" s="4">
        <v>20.0</v>
      </c>
      <c r="C33" s="4" t="s">
        <v>15</v>
      </c>
      <c r="D33" s="4">
        <v>2.26</v>
      </c>
      <c r="E33" s="3"/>
      <c r="F33" s="8">
        <f t="shared" si="4"/>
        <v>393.24</v>
      </c>
      <c r="G33" s="3" t="s">
        <v>29</v>
      </c>
      <c r="H33" s="4" t="s">
        <v>11</v>
      </c>
      <c r="I33" s="4" t="s">
        <v>28</v>
      </c>
      <c r="J33" s="3"/>
      <c r="K33" s="3"/>
      <c r="L33" s="4"/>
      <c r="M33" s="4"/>
      <c r="N33" s="4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7">
        <v>46127.0</v>
      </c>
      <c r="B34" s="4">
        <v>21.0</v>
      </c>
      <c r="C34" s="4" t="s">
        <v>15</v>
      </c>
      <c r="D34" s="4">
        <v>2.31</v>
      </c>
      <c r="E34" s="3"/>
      <c r="F34" s="8">
        <f t="shared" si="4"/>
        <v>401.94</v>
      </c>
      <c r="G34" s="3" t="s">
        <v>30</v>
      </c>
      <c r="H34" s="4" t="s">
        <v>11</v>
      </c>
      <c r="I34" s="4" t="s">
        <v>28</v>
      </c>
      <c r="J34" s="3"/>
      <c r="K34" s="3"/>
      <c r="L34" s="4"/>
      <c r="M34" s="4"/>
      <c r="N34" s="4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7">
        <v>46105.0</v>
      </c>
      <c r="B35" s="4">
        <v>2.0</v>
      </c>
      <c r="C35" s="4" t="s">
        <v>31</v>
      </c>
      <c r="D35" s="4">
        <v>1.13</v>
      </c>
      <c r="E35" s="8">
        <f t="shared" ref="E35:E38" si="5">(D35*230)</f>
        <v>259.9</v>
      </c>
      <c r="F35" s="8">
        <f t="shared" ref="F35:F38" si="6">(D35*192)</f>
        <v>216.96</v>
      </c>
      <c r="G35" s="4" t="s">
        <v>16</v>
      </c>
      <c r="H35" s="4" t="s">
        <v>11</v>
      </c>
      <c r="I35" s="4" t="s">
        <v>11</v>
      </c>
      <c r="J35" s="3"/>
      <c r="K35" s="3"/>
      <c r="L35" s="4"/>
      <c r="M35" s="4"/>
      <c r="N35" s="4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7">
        <v>46105.0</v>
      </c>
      <c r="B36" s="4">
        <v>6.0</v>
      </c>
      <c r="C36" s="4" t="s">
        <v>31</v>
      </c>
      <c r="D36" s="4">
        <v>0.96</v>
      </c>
      <c r="E36" s="8">
        <f t="shared" si="5"/>
        <v>220.8</v>
      </c>
      <c r="F36" s="8">
        <f t="shared" si="6"/>
        <v>184.32</v>
      </c>
      <c r="G36" s="4" t="s">
        <v>17</v>
      </c>
      <c r="H36" s="4" t="s">
        <v>11</v>
      </c>
      <c r="I36" s="4" t="s">
        <v>11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7">
        <v>46105.0</v>
      </c>
      <c r="B37" s="4">
        <v>7.0</v>
      </c>
      <c r="C37" s="4" t="s">
        <v>31</v>
      </c>
      <c r="D37" s="4">
        <v>1.22</v>
      </c>
      <c r="E37" s="8">
        <f t="shared" si="5"/>
        <v>280.6</v>
      </c>
      <c r="F37" s="8">
        <f t="shared" si="6"/>
        <v>234.24</v>
      </c>
      <c r="G37" s="4" t="s">
        <v>17</v>
      </c>
      <c r="H37" s="4" t="s">
        <v>11</v>
      </c>
      <c r="I37" s="4" t="s">
        <v>11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7">
        <v>46105.0</v>
      </c>
      <c r="B38" s="4">
        <v>10.0</v>
      </c>
      <c r="C38" s="4" t="s">
        <v>31</v>
      </c>
      <c r="D38" s="4">
        <v>1.14</v>
      </c>
      <c r="E38" s="8">
        <f t="shared" si="5"/>
        <v>262.2</v>
      </c>
      <c r="F38" s="8">
        <f t="shared" si="6"/>
        <v>218.88</v>
      </c>
      <c r="G38" s="4" t="s">
        <v>32</v>
      </c>
      <c r="H38" s="4" t="s">
        <v>11</v>
      </c>
      <c r="I38" s="4" t="s">
        <v>11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7">
        <v>46114.0</v>
      </c>
      <c r="B39" s="4">
        <v>2.0</v>
      </c>
      <c r="C39" s="4" t="s">
        <v>31</v>
      </c>
      <c r="D39" s="4">
        <v>1.22</v>
      </c>
      <c r="E39" s="8"/>
      <c r="F39" s="8"/>
      <c r="G39" s="4" t="s">
        <v>33</v>
      </c>
      <c r="H39" s="4" t="s">
        <v>11</v>
      </c>
      <c r="I39" s="4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7">
        <v>46119.0</v>
      </c>
      <c r="B40" s="4">
        <v>10.0</v>
      </c>
      <c r="C40" s="4" t="s">
        <v>31</v>
      </c>
      <c r="D40" s="4">
        <v>1.28</v>
      </c>
      <c r="E40" s="8">
        <f>(D40*230)</f>
        <v>294.4</v>
      </c>
      <c r="F40" s="8"/>
      <c r="G40" s="4" t="s">
        <v>34</v>
      </c>
      <c r="H40" s="4" t="s">
        <v>11</v>
      </c>
      <c r="I40" s="4" t="s">
        <v>11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7">
        <v>46105.0</v>
      </c>
      <c r="B41" s="4">
        <v>4.0</v>
      </c>
      <c r="C41" s="4" t="s">
        <v>9</v>
      </c>
      <c r="D41" s="4">
        <v>2.09</v>
      </c>
      <c r="E41" s="8">
        <f>(D41*250)</f>
        <v>522.5</v>
      </c>
      <c r="F41" s="8">
        <f>(D41*195)</f>
        <v>407.55</v>
      </c>
      <c r="G41" s="4" t="s">
        <v>17</v>
      </c>
      <c r="H41" s="4" t="s">
        <v>11</v>
      </c>
      <c r="I41" s="4" t="s">
        <v>11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7">
        <v>46113.0</v>
      </c>
      <c r="B42" s="4">
        <v>5.0</v>
      </c>
      <c r="C42" s="4" t="s">
        <v>9</v>
      </c>
      <c r="D42" s="4">
        <v>2.22</v>
      </c>
      <c r="E42" s="8">
        <f t="shared" ref="E42:E43" si="7">(D42*240)</f>
        <v>532.8</v>
      </c>
      <c r="F42" s="8"/>
      <c r="G42" s="4" t="s">
        <v>35</v>
      </c>
      <c r="H42" s="4" t="s">
        <v>11</v>
      </c>
      <c r="I42" s="4" t="s">
        <v>11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7">
        <v>46113.0</v>
      </c>
      <c r="B43" s="4">
        <v>6.0</v>
      </c>
      <c r="C43" s="4" t="s">
        <v>9</v>
      </c>
      <c r="D43" s="4">
        <v>2.19</v>
      </c>
      <c r="E43" s="8">
        <f t="shared" si="7"/>
        <v>525.6</v>
      </c>
      <c r="F43" s="8"/>
      <c r="G43" s="4" t="s">
        <v>35</v>
      </c>
      <c r="H43" s="4" t="s">
        <v>11</v>
      </c>
      <c r="I43" s="4" t="s">
        <v>11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5" t="s">
        <v>1</v>
      </c>
      <c r="B44" s="5" t="s">
        <v>13</v>
      </c>
      <c r="C44" s="5" t="s">
        <v>2</v>
      </c>
      <c r="D44" s="5" t="s">
        <v>3</v>
      </c>
      <c r="E44" s="5" t="s">
        <v>4</v>
      </c>
      <c r="F44" s="5" t="s">
        <v>5</v>
      </c>
      <c r="G44" s="6" t="s">
        <v>14</v>
      </c>
      <c r="H44" s="5" t="s">
        <v>7</v>
      </c>
      <c r="I44" s="5" t="s">
        <v>8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7">
        <v>46105.0</v>
      </c>
      <c r="B45" s="4">
        <v>1.0</v>
      </c>
      <c r="C45" s="4" t="s">
        <v>36</v>
      </c>
      <c r="D45" s="4">
        <v>0.69</v>
      </c>
      <c r="E45" s="8">
        <f t="shared" ref="E45:E49" si="8">(D45+360)</f>
        <v>360.69</v>
      </c>
      <c r="F45" s="8">
        <f t="shared" ref="F45:F49" si="9">(D45+288)</f>
        <v>288.69</v>
      </c>
      <c r="G45" s="4" t="s">
        <v>16</v>
      </c>
      <c r="H45" s="4" t="s">
        <v>11</v>
      </c>
      <c r="I45" s="4" t="s">
        <v>11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7">
        <v>46105.0</v>
      </c>
      <c r="B46" s="4">
        <v>7.0</v>
      </c>
      <c r="C46" s="4" t="s">
        <v>36</v>
      </c>
      <c r="D46" s="4">
        <v>0.715</v>
      </c>
      <c r="E46" s="8">
        <f t="shared" si="8"/>
        <v>360.715</v>
      </c>
      <c r="F46" s="8">
        <f t="shared" si="9"/>
        <v>288.715</v>
      </c>
      <c r="G46" s="4" t="s">
        <v>17</v>
      </c>
      <c r="H46" s="4" t="s">
        <v>11</v>
      </c>
      <c r="I46" s="4" t="s">
        <v>11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7">
        <v>46105.0</v>
      </c>
      <c r="B47" s="4">
        <v>8.0</v>
      </c>
      <c r="C47" s="4" t="s">
        <v>36</v>
      </c>
      <c r="D47" s="4">
        <v>0.705</v>
      </c>
      <c r="E47" s="8">
        <f t="shared" si="8"/>
        <v>360.705</v>
      </c>
      <c r="F47" s="8">
        <f t="shared" si="9"/>
        <v>288.705</v>
      </c>
      <c r="G47" s="4" t="s">
        <v>17</v>
      </c>
      <c r="H47" s="4" t="s">
        <v>11</v>
      </c>
      <c r="I47" s="4" t="s">
        <v>11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7">
        <v>46105.0</v>
      </c>
      <c r="B48" s="4">
        <v>11.0</v>
      </c>
      <c r="C48" s="4" t="s">
        <v>36</v>
      </c>
      <c r="D48" s="4">
        <v>0.78</v>
      </c>
      <c r="E48" s="8">
        <f t="shared" si="8"/>
        <v>360.78</v>
      </c>
      <c r="F48" s="8">
        <f t="shared" si="9"/>
        <v>288.78</v>
      </c>
      <c r="G48" s="4" t="s">
        <v>17</v>
      </c>
      <c r="H48" s="4" t="s">
        <v>11</v>
      </c>
      <c r="I48" s="4" t="s">
        <v>11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7">
        <v>46105.0</v>
      </c>
      <c r="B49" s="4">
        <v>29.0</v>
      </c>
      <c r="C49" s="4" t="s">
        <v>36</v>
      </c>
      <c r="D49" s="4">
        <v>0.715</v>
      </c>
      <c r="E49" s="8">
        <f t="shared" si="8"/>
        <v>360.715</v>
      </c>
      <c r="F49" s="8">
        <f t="shared" si="9"/>
        <v>288.715</v>
      </c>
      <c r="G49" s="4" t="s">
        <v>17</v>
      </c>
      <c r="H49" s="4" t="s">
        <v>11</v>
      </c>
      <c r="I49" s="4" t="s">
        <v>11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7">
        <v>46113.0</v>
      </c>
      <c r="B50" s="4">
        <v>1.0</v>
      </c>
      <c r="C50" s="4" t="s">
        <v>36</v>
      </c>
      <c r="D50" s="4">
        <v>0.8</v>
      </c>
      <c r="E50" s="8">
        <f t="shared" ref="E50:E53" si="10">(D50*360)</f>
        <v>288</v>
      </c>
      <c r="F50" s="8"/>
      <c r="G50" s="4" t="s">
        <v>37</v>
      </c>
      <c r="H50" s="4" t="s">
        <v>11</v>
      </c>
      <c r="I50" s="4" t="s">
        <v>11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7">
        <v>46113.0</v>
      </c>
      <c r="B51" s="4">
        <v>2.0</v>
      </c>
      <c r="C51" s="4" t="s">
        <v>36</v>
      </c>
      <c r="D51" s="4">
        <v>0.64</v>
      </c>
      <c r="E51" s="8">
        <f t="shared" si="10"/>
        <v>230.4</v>
      </c>
      <c r="F51" s="8"/>
      <c r="G51" s="4" t="s">
        <v>38</v>
      </c>
      <c r="H51" s="4" t="s">
        <v>11</v>
      </c>
      <c r="I51" s="4" t="s">
        <v>11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7">
        <v>46113.0</v>
      </c>
      <c r="B52" s="4">
        <v>4.0</v>
      </c>
      <c r="C52" s="4" t="s">
        <v>36</v>
      </c>
      <c r="D52" s="4">
        <v>0.925</v>
      </c>
      <c r="E52" s="8">
        <f t="shared" si="10"/>
        <v>333</v>
      </c>
      <c r="F52" s="8"/>
      <c r="G52" s="4" t="s">
        <v>39</v>
      </c>
      <c r="H52" s="4" t="s">
        <v>11</v>
      </c>
      <c r="I52" s="4" t="s">
        <v>11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7">
        <v>46113.0</v>
      </c>
      <c r="B53" s="4">
        <v>5.0</v>
      </c>
      <c r="C53" s="4" t="s">
        <v>36</v>
      </c>
      <c r="D53" s="4">
        <v>0.675</v>
      </c>
      <c r="E53" s="8">
        <f t="shared" si="10"/>
        <v>243</v>
      </c>
      <c r="F53" s="8"/>
      <c r="G53" s="4" t="s">
        <v>33</v>
      </c>
      <c r="H53" s="4" t="s">
        <v>11</v>
      </c>
      <c r="I53" s="4" t="s">
        <v>11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7">
        <v>46105.0</v>
      </c>
      <c r="B54" s="4">
        <v>7.0</v>
      </c>
      <c r="C54" s="4" t="s">
        <v>40</v>
      </c>
      <c r="D54" s="4">
        <v>0.755</v>
      </c>
      <c r="E54" s="8">
        <f>(D54*280)</f>
        <v>211.4</v>
      </c>
      <c r="F54" s="8">
        <f>(D54*230)</f>
        <v>173.65</v>
      </c>
      <c r="G54" s="4" t="s">
        <v>17</v>
      </c>
      <c r="H54" s="4" t="s">
        <v>11</v>
      </c>
      <c r="I54" s="4" t="s">
        <v>11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7">
        <v>46105.0</v>
      </c>
      <c r="B55" s="4">
        <v>10.0</v>
      </c>
      <c r="C55" s="4" t="s">
        <v>40</v>
      </c>
      <c r="D55" s="4">
        <v>0.765</v>
      </c>
      <c r="E55" s="8">
        <f t="shared" ref="E55:E59" si="11">(D55*290)</f>
        <v>221.85</v>
      </c>
      <c r="F55" s="8">
        <f t="shared" ref="F55:F59" si="12">(D55*242)</f>
        <v>185.13</v>
      </c>
      <c r="G55" s="4" t="s">
        <v>17</v>
      </c>
      <c r="H55" s="4" t="s">
        <v>11</v>
      </c>
      <c r="I55" s="4" t="s">
        <v>11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7">
        <v>46105.0</v>
      </c>
      <c r="B56" s="4">
        <v>11.0</v>
      </c>
      <c r="C56" s="4" t="s">
        <v>40</v>
      </c>
      <c r="D56" s="4">
        <v>0.755</v>
      </c>
      <c r="E56" s="8">
        <f t="shared" si="11"/>
        <v>218.95</v>
      </c>
      <c r="F56" s="8">
        <f t="shared" si="12"/>
        <v>182.71</v>
      </c>
      <c r="G56" s="4" t="s">
        <v>17</v>
      </c>
      <c r="H56" s="4" t="s">
        <v>11</v>
      </c>
      <c r="I56" s="4" t="s">
        <v>11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7">
        <v>46105.0</v>
      </c>
      <c r="B57" s="4">
        <v>20.0</v>
      </c>
      <c r="C57" s="4" t="s">
        <v>40</v>
      </c>
      <c r="D57" s="4">
        <v>0.75</v>
      </c>
      <c r="E57" s="8">
        <f t="shared" si="11"/>
        <v>217.5</v>
      </c>
      <c r="F57" s="8">
        <f t="shared" si="12"/>
        <v>181.5</v>
      </c>
      <c r="G57" s="4" t="s">
        <v>17</v>
      </c>
      <c r="H57" s="4" t="s">
        <v>11</v>
      </c>
      <c r="I57" s="4" t="s">
        <v>11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7">
        <v>46105.0</v>
      </c>
      <c r="B58" s="4">
        <v>21.0</v>
      </c>
      <c r="C58" s="4" t="s">
        <v>40</v>
      </c>
      <c r="D58" s="4">
        <v>0.75</v>
      </c>
      <c r="E58" s="8">
        <f t="shared" si="11"/>
        <v>217.5</v>
      </c>
      <c r="F58" s="8">
        <f t="shared" si="12"/>
        <v>181.5</v>
      </c>
      <c r="G58" s="4" t="s">
        <v>17</v>
      </c>
      <c r="H58" s="4" t="s">
        <v>11</v>
      </c>
      <c r="I58" s="4" t="s">
        <v>11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7">
        <v>46105.0</v>
      </c>
      <c r="B59" s="4">
        <v>22.0</v>
      </c>
      <c r="C59" s="4" t="s">
        <v>40</v>
      </c>
      <c r="D59" s="4">
        <v>0.775</v>
      </c>
      <c r="E59" s="8">
        <f t="shared" si="11"/>
        <v>224.75</v>
      </c>
      <c r="F59" s="8">
        <f t="shared" si="12"/>
        <v>187.55</v>
      </c>
      <c r="G59" s="4" t="s">
        <v>17</v>
      </c>
      <c r="H59" s="4" t="s">
        <v>11</v>
      </c>
      <c r="I59" s="4" t="s">
        <v>11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7">
        <v>46113.0</v>
      </c>
      <c r="B60" s="4">
        <v>2.0</v>
      </c>
      <c r="C60" s="4" t="s">
        <v>40</v>
      </c>
      <c r="D60" s="4">
        <v>0.695</v>
      </c>
      <c r="E60" s="8">
        <f t="shared" ref="E60:E62" si="13">(D60*280)</f>
        <v>194.6</v>
      </c>
      <c r="F60" s="8"/>
      <c r="G60" s="4" t="s">
        <v>39</v>
      </c>
      <c r="H60" s="4" t="s">
        <v>11</v>
      </c>
      <c r="I60" s="4" t="s">
        <v>11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7">
        <v>46113.0</v>
      </c>
      <c r="B61" s="4">
        <v>3.0</v>
      </c>
      <c r="C61" s="4" t="s">
        <v>40</v>
      </c>
      <c r="D61" s="4">
        <v>0.92</v>
      </c>
      <c r="E61" s="8">
        <f t="shared" si="13"/>
        <v>257.6</v>
      </c>
      <c r="F61" s="8"/>
      <c r="G61" s="4" t="s">
        <v>39</v>
      </c>
      <c r="H61" s="4" t="s">
        <v>11</v>
      </c>
      <c r="I61" s="4" t="s">
        <v>11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7">
        <v>46119.0</v>
      </c>
      <c r="B62" s="4">
        <v>16.0</v>
      </c>
      <c r="C62" s="4" t="s">
        <v>40</v>
      </c>
      <c r="D62" s="4">
        <v>0.745</v>
      </c>
      <c r="E62" s="8">
        <f t="shared" si="13"/>
        <v>208.6</v>
      </c>
      <c r="F62" s="8"/>
      <c r="G62" s="4" t="s">
        <v>41</v>
      </c>
      <c r="H62" s="4" t="s">
        <v>11</v>
      </c>
      <c r="I62" s="4" t="s">
        <v>11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7">
        <v>46119.0</v>
      </c>
      <c r="B63" s="4">
        <v>20.0</v>
      </c>
      <c r="C63" s="4" t="s">
        <v>42</v>
      </c>
      <c r="D63" s="12">
        <v>0.5</v>
      </c>
      <c r="E63" s="8">
        <v>180.0</v>
      </c>
      <c r="F63" s="8"/>
      <c r="G63" s="4" t="s">
        <v>35</v>
      </c>
      <c r="H63" s="4" t="s">
        <v>11</v>
      </c>
      <c r="I63" s="4" t="s">
        <v>11</v>
      </c>
      <c r="J63" s="4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7">
        <v>46119.0</v>
      </c>
      <c r="B64" s="4">
        <v>21.0</v>
      </c>
      <c r="C64" s="4" t="s">
        <v>42</v>
      </c>
      <c r="D64" s="12">
        <v>0.5</v>
      </c>
      <c r="E64" s="8">
        <v>180.0</v>
      </c>
      <c r="F64" s="8"/>
      <c r="G64" s="4" t="s">
        <v>35</v>
      </c>
      <c r="H64" s="4" t="s">
        <v>11</v>
      </c>
      <c r="I64" s="4" t="s">
        <v>11</v>
      </c>
      <c r="J64" s="4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7">
        <v>46119.0</v>
      </c>
      <c r="B65" s="4">
        <v>22.0</v>
      </c>
      <c r="C65" s="4" t="s">
        <v>42</v>
      </c>
      <c r="D65" s="4">
        <v>0.5</v>
      </c>
      <c r="E65" s="8">
        <v>180.0</v>
      </c>
      <c r="F65" s="8"/>
      <c r="G65" s="4" t="s">
        <v>43</v>
      </c>
      <c r="H65" s="11" t="s">
        <v>44</v>
      </c>
      <c r="I65" s="4" t="s">
        <v>11</v>
      </c>
      <c r="J65" s="4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7">
        <v>46119.0</v>
      </c>
      <c r="B66" s="4">
        <v>23.0</v>
      </c>
      <c r="C66" s="4" t="s">
        <v>42</v>
      </c>
      <c r="D66" s="4">
        <v>0.5</v>
      </c>
      <c r="E66" s="8">
        <v>180.0</v>
      </c>
      <c r="F66" s="8"/>
      <c r="G66" s="4" t="s">
        <v>43</v>
      </c>
      <c r="H66" s="11" t="s">
        <v>44</v>
      </c>
      <c r="I66" s="4" t="s">
        <v>11</v>
      </c>
      <c r="J66" s="4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7">
        <v>46105.0</v>
      </c>
      <c r="B67" s="4">
        <v>1.0</v>
      </c>
      <c r="C67" s="4" t="s">
        <v>45</v>
      </c>
      <c r="D67" s="4">
        <v>1.0</v>
      </c>
      <c r="E67" s="8">
        <f t="shared" ref="E67:E69" si="14">(D67*210)</f>
        <v>210</v>
      </c>
      <c r="F67" s="8">
        <f t="shared" ref="F67:F69" si="15">(D67*175)</f>
        <v>175</v>
      </c>
      <c r="G67" s="4" t="s">
        <v>17</v>
      </c>
      <c r="H67" s="4" t="s">
        <v>11</v>
      </c>
      <c r="I67" s="4" t="s">
        <v>11</v>
      </c>
      <c r="J67" s="4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7">
        <v>46105.0</v>
      </c>
      <c r="B68" s="4">
        <v>5.0</v>
      </c>
      <c r="C68" s="4" t="s">
        <v>45</v>
      </c>
      <c r="D68" s="4">
        <v>1.0</v>
      </c>
      <c r="E68" s="8">
        <f t="shared" si="14"/>
        <v>210</v>
      </c>
      <c r="F68" s="8">
        <f t="shared" si="15"/>
        <v>175</v>
      </c>
      <c r="G68" s="4" t="s">
        <v>17</v>
      </c>
      <c r="H68" s="4" t="s">
        <v>11</v>
      </c>
      <c r="I68" s="4" t="s">
        <v>11</v>
      </c>
      <c r="J68" s="4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7">
        <v>46105.0</v>
      </c>
      <c r="B69" s="4">
        <v>6.0</v>
      </c>
      <c r="C69" s="4" t="s">
        <v>45</v>
      </c>
      <c r="D69" s="4">
        <v>1.0</v>
      </c>
      <c r="E69" s="8">
        <f t="shared" si="14"/>
        <v>210</v>
      </c>
      <c r="F69" s="8">
        <f t="shared" si="15"/>
        <v>175</v>
      </c>
      <c r="G69" s="4" t="s">
        <v>17</v>
      </c>
      <c r="H69" s="4" t="s">
        <v>11</v>
      </c>
      <c r="I69" s="4" t="s">
        <v>11</v>
      </c>
      <c r="J69" s="4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7">
        <v>46105.0</v>
      </c>
      <c r="B70" s="4">
        <v>5.0</v>
      </c>
      <c r="C70" s="4" t="s">
        <v>46</v>
      </c>
      <c r="D70" s="4">
        <v>0.5</v>
      </c>
      <c r="E70" s="8"/>
      <c r="F70" s="8"/>
      <c r="G70" s="4" t="s">
        <v>47</v>
      </c>
      <c r="H70" s="4" t="s">
        <v>11</v>
      </c>
      <c r="I70" s="4" t="s">
        <v>11</v>
      </c>
      <c r="J70" s="4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7">
        <v>46105.0</v>
      </c>
      <c r="B71" s="4">
        <v>3.0</v>
      </c>
      <c r="C71" s="4" t="s">
        <v>48</v>
      </c>
      <c r="D71" s="4">
        <v>0.5</v>
      </c>
      <c r="E71" s="8"/>
      <c r="F71" s="8"/>
      <c r="G71" s="4" t="s">
        <v>17</v>
      </c>
      <c r="H71" s="4" t="s">
        <v>11</v>
      </c>
      <c r="I71" s="4" t="s">
        <v>11</v>
      </c>
      <c r="J71" s="4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7">
        <v>46105.0</v>
      </c>
      <c r="B72" s="4">
        <v>4.0</v>
      </c>
      <c r="C72" s="4" t="s">
        <v>48</v>
      </c>
      <c r="D72" s="4">
        <v>0.5</v>
      </c>
      <c r="E72" s="8"/>
      <c r="F72" s="8"/>
      <c r="G72" s="4" t="s">
        <v>17</v>
      </c>
      <c r="H72" s="4" t="s">
        <v>11</v>
      </c>
      <c r="I72" s="4" t="s">
        <v>11</v>
      </c>
      <c r="J72" s="4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7">
        <v>46113.0</v>
      </c>
      <c r="B73" s="4">
        <v>1.0</v>
      </c>
      <c r="C73" s="4" t="s">
        <v>48</v>
      </c>
      <c r="D73" s="4">
        <v>0.5</v>
      </c>
      <c r="E73" s="8"/>
      <c r="F73" s="8"/>
      <c r="G73" s="4" t="s">
        <v>17</v>
      </c>
      <c r="H73" s="4" t="s">
        <v>11</v>
      </c>
      <c r="I73" s="4" t="s">
        <v>11</v>
      </c>
      <c r="J73" s="4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7">
        <v>46113.0</v>
      </c>
      <c r="B74" s="4">
        <v>2.0</v>
      </c>
      <c r="C74" s="4" t="s">
        <v>48</v>
      </c>
      <c r="D74" s="4">
        <v>0.5</v>
      </c>
      <c r="E74" s="8"/>
      <c r="F74" s="8"/>
      <c r="G74" s="4" t="s">
        <v>17</v>
      </c>
      <c r="H74" s="4" t="s">
        <v>11</v>
      </c>
      <c r="I74" s="4" t="s">
        <v>11</v>
      </c>
      <c r="J74" s="4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7">
        <v>46113.0</v>
      </c>
      <c r="B75" s="4">
        <v>3.0</v>
      </c>
      <c r="C75" s="4" t="s">
        <v>48</v>
      </c>
      <c r="D75" s="4">
        <v>0.5</v>
      </c>
      <c r="E75" s="8"/>
      <c r="F75" s="8"/>
      <c r="G75" s="4" t="s">
        <v>17</v>
      </c>
      <c r="H75" s="4" t="s">
        <v>11</v>
      </c>
      <c r="I75" s="4" t="s">
        <v>11</v>
      </c>
      <c r="J75" s="4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7">
        <v>46113.0</v>
      </c>
      <c r="B76" s="4">
        <v>4.0</v>
      </c>
      <c r="C76" s="4" t="s">
        <v>48</v>
      </c>
      <c r="D76" s="4">
        <v>0.5</v>
      </c>
      <c r="E76" s="8"/>
      <c r="F76" s="8"/>
      <c r="G76" s="4" t="s">
        <v>17</v>
      </c>
      <c r="H76" s="4" t="s">
        <v>11</v>
      </c>
      <c r="I76" s="4" t="s">
        <v>11</v>
      </c>
      <c r="J76" s="4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7">
        <v>46113.0</v>
      </c>
      <c r="B77" s="4">
        <v>5.0</v>
      </c>
      <c r="C77" s="4" t="s">
        <v>48</v>
      </c>
      <c r="D77" s="4">
        <v>0.5</v>
      </c>
      <c r="E77" s="8"/>
      <c r="F77" s="8"/>
      <c r="G77" s="4" t="s">
        <v>17</v>
      </c>
      <c r="H77" s="4" t="s">
        <v>11</v>
      </c>
      <c r="I77" s="4" t="s">
        <v>11</v>
      </c>
      <c r="J77" s="4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4"/>
      <c r="I78" s="4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4"/>
      <c r="I79" s="4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4"/>
      <c r="I80" s="4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4"/>
      <c r="I81" s="4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4"/>
      <c r="I82" s="4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4"/>
      <c r="I83" s="4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4"/>
      <c r="I84" s="4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4"/>
      <c r="I85" s="4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4"/>
      <c r="I86" s="4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4"/>
      <c r="I87" s="4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4"/>
      <c r="I88" s="4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4"/>
      <c r="I89" s="4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4"/>
      <c r="I90" s="4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4"/>
      <c r="I91" s="4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4"/>
      <c r="I92" s="4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4"/>
      <c r="I93" s="4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4"/>
      <c r="I94" s="4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4"/>
      <c r="I95" s="4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4"/>
      <c r="I96" s="4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4"/>
      <c r="I97" s="4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4"/>
      <c r="I98" s="4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4"/>
      <c r="I99" s="4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4"/>
      <c r="I100" s="4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4"/>
      <c r="I101" s="4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4"/>
      <c r="I102" s="4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4"/>
      <c r="I103" s="4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4"/>
      <c r="I104" s="4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4"/>
      <c r="I105" s="4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4"/>
      <c r="I106" s="4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4"/>
      <c r="I107" s="4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4"/>
      <c r="I108" s="4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4"/>
      <c r="I109" s="4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4"/>
      <c r="I110" s="4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4"/>
      <c r="I111" s="4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4"/>
      <c r="I112" s="4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4"/>
      <c r="I113" s="4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4"/>
      <c r="I114" s="4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4"/>
      <c r="I115" s="4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4"/>
      <c r="I116" s="4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4"/>
      <c r="I117" s="4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4"/>
      <c r="I118" s="4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4"/>
      <c r="I119" s="4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4"/>
      <c r="I120" s="4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4"/>
      <c r="I121" s="4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4"/>
      <c r="I122" s="4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4"/>
      <c r="I123" s="4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4"/>
      <c r="I124" s="4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4"/>
      <c r="I125" s="4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4"/>
      <c r="I126" s="4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4"/>
      <c r="I127" s="4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4"/>
      <c r="I128" s="4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4"/>
      <c r="I129" s="4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4"/>
      <c r="I130" s="4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4"/>
      <c r="I131" s="4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4"/>
      <c r="I132" s="4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4"/>
      <c r="I133" s="4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4"/>
      <c r="I134" s="4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4"/>
      <c r="I135" s="4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4"/>
      <c r="I136" s="4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4"/>
      <c r="I137" s="4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4"/>
      <c r="I138" s="4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4"/>
      <c r="I139" s="4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4"/>
      <c r="I140" s="4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4"/>
      <c r="I141" s="4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4"/>
      <c r="I142" s="4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4"/>
      <c r="I143" s="4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4"/>
      <c r="I144" s="4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4"/>
      <c r="I145" s="4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4"/>
      <c r="I146" s="4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4"/>
      <c r="I147" s="4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4"/>
      <c r="I148" s="4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4"/>
      <c r="I149" s="4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4"/>
      <c r="I150" s="4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4"/>
      <c r="I151" s="4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4"/>
      <c r="I152" s="4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4"/>
      <c r="I153" s="4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4"/>
      <c r="I154" s="4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4"/>
      <c r="I155" s="4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4"/>
      <c r="I156" s="4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4"/>
      <c r="I157" s="4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4"/>
      <c r="I158" s="4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4"/>
      <c r="I159" s="4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4"/>
      <c r="I160" s="4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4"/>
      <c r="I161" s="4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4"/>
      <c r="I162" s="4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4"/>
      <c r="I163" s="4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4"/>
      <c r="I164" s="4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4"/>
      <c r="I165" s="4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4"/>
      <c r="I166" s="4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4"/>
      <c r="I167" s="4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4"/>
      <c r="I168" s="4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4"/>
      <c r="I169" s="4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4"/>
      <c r="I170" s="4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4"/>
      <c r="I171" s="4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4"/>
      <c r="I172" s="4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4"/>
      <c r="I173" s="4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4"/>
      <c r="I174" s="4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4"/>
      <c r="I175" s="4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4"/>
      <c r="I176" s="4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4"/>
      <c r="I177" s="4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4"/>
      <c r="I178" s="4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4"/>
      <c r="I179" s="4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4"/>
      <c r="I180" s="4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4"/>
      <c r="I181" s="4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4"/>
      <c r="I182" s="4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4"/>
      <c r="I183" s="4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4"/>
      <c r="I184" s="4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4"/>
      <c r="I185" s="4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4"/>
      <c r="I186" s="4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4"/>
      <c r="I187" s="4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4"/>
      <c r="I188" s="4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4"/>
      <c r="I189" s="4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4"/>
      <c r="I190" s="4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4"/>
      <c r="I191" s="4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4"/>
      <c r="I192" s="4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4"/>
      <c r="I193" s="4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4"/>
      <c r="I194" s="4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4"/>
      <c r="I195" s="4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4"/>
      <c r="I196" s="4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4"/>
      <c r="I197" s="4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4"/>
      <c r="I198" s="4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4"/>
      <c r="I199" s="4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4"/>
      <c r="I200" s="4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4"/>
      <c r="I201" s="4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4"/>
      <c r="I202" s="4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4"/>
      <c r="I203" s="4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4"/>
      <c r="I204" s="4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4"/>
      <c r="I205" s="4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4"/>
      <c r="I206" s="4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4"/>
      <c r="I207" s="4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4"/>
      <c r="I208" s="4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4"/>
      <c r="I209" s="4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4"/>
      <c r="I210" s="4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4"/>
      <c r="I211" s="4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4"/>
      <c r="I212" s="4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4"/>
      <c r="I213" s="4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4"/>
      <c r="I214" s="4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4"/>
      <c r="I215" s="4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4"/>
      <c r="I216" s="4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4"/>
      <c r="I217" s="4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4"/>
      <c r="I218" s="4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4"/>
      <c r="I219" s="4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4"/>
      <c r="I220" s="4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4"/>
      <c r="I221" s="4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4"/>
      <c r="I222" s="4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4"/>
      <c r="I223" s="4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4"/>
      <c r="I224" s="4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4"/>
      <c r="I225" s="4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4"/>
      <c r="I226" s="4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4"/>
      <c r="I227" s="4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4"/>
      <c r="I228" s="4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4"/>
      <c r="I229" s="4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4"/>
      <c r="I230" s="4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4"/>
      <c r="I231" s="4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4"/>
      <c r="I232" s="4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4"/>
      <c r="I233" s="4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4"/>
      <c r="I234" s="4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4"/>
      <c r="I235" s="4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4"/>
      <c r="I236" s="4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4"/>
      <c r="I237" s="4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4"/>
      <c r="I238" s="4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4"/>
      <c r="I239" s="4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4"/>
      <c r="I240" s="4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4"/>
      <c r="I241" s="4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4"/>
      <c r="I242" s="4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4"/>
      <c r="I243" s="4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4"/>
      <c r="I244" s="4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4"/>
      <c r="I245" s="4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4"/>
      <c r="I246" s="4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4"/>
      <c r="I247" s="4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4"/>
      <c r="I248" s="4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4"/>
      <c r="I249" s="4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4"/>
      <c r="I250" s="4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4"/>
      <c r="I251" s="4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4"/>
      <c r="I252" s="4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4"/>
      <c r="I253" s="4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4"/>
      <c r="I254" s="4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4"/>
      <c r="I255" s="4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4"/>
      <c r="I256" s="4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4"/>
      <c r="I257" s="4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4"/>
      <c r="I258" s="4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4"/>
      <c r="I259" s="4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4"/>
      <c r="I260" s="4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4"/>
      <c r="I261" s="4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4"/>
      <c r="I262" s="4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4"/>
      <c r="I263" s="4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4"/>
      <c r="I264" s="4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4"/>
      <c r="I265" s="4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4"/>
      <c r="I266" s="4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4"/>
      <c r="I267" s="4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4"/>
      <c r="I268" s="4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4"/>
      <c r="I269" s="4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4"/>
      <c r="I270" s="4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4"/>
      <c r="I271" s="4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4"/>
      <c r="I272" s="4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4"/>
      <c r="I273" s="4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4"/>
      <c r="I274" s="4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4"/>
      <c r="I275" s="4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4"/>
      <c r="I276" s="4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4"/>
      <c r="I277" s="4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4"/>
      <c r="I278" s="4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4"/>
      <c r="I279" s="4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4"/>
      <c r="I280" s="4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4"/>
      <c r="I281" s="4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4"/>
      <c r="I282" s="4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4"/>
      <c r="I283" s="4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4"/>
      <c r="I284" s="4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4"/>
      <c r="I285" s="4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4"/>
      <c r="I286" s="4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4"/>
      <c r="I287" s="4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4"/>
      <c r="I288" s="4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4"/>
      <c r="I289" s="4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4"/>
      <c r="I290" s="4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4"/>
      <c r="I291" s="4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4"/>
      <c r="I292" s="4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4"/>
      <c r="I293" s="4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4"/>
      <c r="I294" s="4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4"/>
      <c r="I295" s="4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4"/>
      <c r="I296" s="4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4"/>
      <c r="I297" s="4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4"/>
      <c r="I298" s="4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4"/>
      <c r="I299" s="4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4"/>
      <c r="I300" s="4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4"/>
      <c r="I301" s="4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4"/>
      <c r="I302" s="4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</sheetData>
  <printOptions/>
  <pageMargins bottom="0.3" footer="0.0" header="0.0" left="0.7" right="0.7" top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24.38"/>
    <col customWidth="1" min="3" max="3" width="21.63"/>
    <col customWidth="1" min="4" max="4" width="11.13"/>
    <col customWidth="1" min="5" max="5" width="12.63"/>
    <col customWidth="1" min="6" max="6" width="13.25"/>
    <col customWidth="1" min="7" max="7" width="18.38"/>
    <col customWidth="1" min="8" max="8" width="13.13"/>
    <col customWidth="1" min="9" max="9" width="14.13"/>
    <col customWidth="1" min="10" max="13" width="9.38"/>
    <col customWidth="1" min="14" max="25" width="8.63"/>
  </cols>
  <sheetData>
    <row r="1">
      <c r="A1" s="1" t="s">
        <v>49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5" t="s">
        <v>1</v>
      </c>
      <c r="B2" s="13" t="s">
        <v>50</v>
      </c>
      <c r="C2" s="5" t="s">
        <v>2</v>
      </c>
      <c r="D2" s="5" t="s">
        <v>3</v>
      </c>
      <c r="E2" s="5" t="s">
        <v>4</v>
      </c>
      <c r="F2" s="5" t="s">
        <v>5</v>
      </c>
      <c r="G2" s="14" t="s">
        <v>6</v>
      </c>
      <c r="H2" s="5" t="s">
        <v>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7">
        <v>46103.0</v>
      </c>
      <c r="B3" s="4">
        <v>7.0</v>
      </c>
      <c r="C3" s="4" t="s">
        <v>9</v>
      </c>
      <c r="D3" s="4">
        <v>1.395</v>
      </c>
      <c r="E3" s="8"/>
      <c r="F3" s="8">
        <f t="shared" ref="F3:F5" si="1">(D3*230)</f>
        <v>320.85</v>
      </c>
      <c r="G3" s="4" t="s">
        <v>16</v>
      </c>
      <c r="H3" s="4" t="s">
        <v>11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7">
        <v>46104.0</v>
      </c>
      <c r="B4" s="4">
        <v>8.0</v>
      </c>
      <c r="C4" s="4" t="s">
        <v>9</v>
      </c>
      <c r="D4" s="4">
        <v>1.56</v>
      </c>
      <c r="E4" s="8"/>
      <c r="F4" s="8">
        <f t="shared" si="1"/>
        <v>358.8</v>
      </c>
      <c r="G4" s="4" t="s">
        <v>16</v>
      </c>
      <c r="H4" s="4" t="s">
        <v>11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7">
        <v>46105.0</v>
      </c>
      <c r="B5" s="4">
        <v>9.0</v>
      </c>
      <c r="C5" s="4" t="s">
        <v>9</v>
      </c>
      <c r="D5" s="4">
        <v>1.48</v>
      </c>
      <c r="E5" s="8"/>
      <c r="F5" s="8">
        <f t="shared" si="1"/>
        <v>340.4</v>
      </c>
      <c r="G5" s="4" t="s">
        <v>16</v>
      </c>
      <c r="H5" s="4" t="s">
        <v>11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7">
        <v>46105.0</v>
      </c>
      <c r="B6" s="4">
        <v>2.0</v>
      </c>
      <c r="C6" s="4" t="s">
        <v>15</v>
      </c>
      <c r="D6" s="4">
        <v>1.93</v>
      </c>
      <c r="E6" s="8">
        <f t="shared" ref="E6:E10" si="2">(D6*230)</f>
        <v>443.9</v>
      </c>
      <c r="F6" s="8">
        <f t="shared" ref="F6:F10" si="3">(D6*192)</f>
        <v>370.56</v>
      </c>
      <c r="G6" s="4" t="s">
        <v>16</v>
      </c>
      <c r="H6" s="4" t="s">
        <v>11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7">
        <v>46105.0</v>
      </c>
      <c r="B7" s="4">
        <v>3.0</v>
      </c>
      <c r="C7" s="4" t="s">
        <v>15</v>
      </c>
      <c r="D7" s="4">
        <v>2.225</v>
      </c>
      <c r="E7" s="8">
        <f t="shared" si="2"/>
        <v>511.75</v>
      </c>
      <c r="F7" s="8">
        <f t="shared" si="3"/>
        <v>427.2</v>
      </c>
      <c r="G7" s="4" t="s">
        <v>16</v>
      </c>
      <c r="H7" s="4" t="s">
        <v>11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7">
        <v>46105.0</v>
      </c>
      <c r="B8" s="4">
        <v>4.0</v>
      </c>
      <c r="C8" s="4" t="s">
        <v>15</v>
      </c>
      <c r="D8" s="4">
        <v>2.2</v>
      </c>
      <c r="E8" s="8">
        <f t="shared" si="2"/>
        <v>506</v>
      </c>
      <c r="F8" s="8">
        <f t="shared" si="3"/>
        <v>422.4</v>
      </c>
      <c r="G8" s="4" t="s">
        <v>16</v>
      </c>
      <c r="H8" s="4" t="s">
        <v>11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5.75" customHeight="1">
      <c r="A9" s="7">
        <v>46105.0</v>
      </c>
      <c r="B9" s="4">
        <v>7.0</v>
      </c>
      <c r="C9" s="4" t="s">
        <v>15</v>
      </c>
      <c r="D9" s="4">
        <v>2.165</v>
      </c>
      <c r="E9" s="10">
        <f t="shared" si="2"/>
        <v>497.95</v>
      </c>
      <c r="F9" s="8">
        <f t="shared" si="3"/>
        <v>415.68</v>
      </c>
      <c r="G9" s="4" t="s">
        <v>17</v>
      </c>
      <c r="H9" s="4" t="s">
        <v>11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5.75" customHeight="1">
      <c r="A10" s="7">
        <v>46105.0</v>
      </c>
      <c r="B10" s="4">
        <v>8.0</v>
      </c>
      <c r="C10" s="4" t="s">
        <v>15</v>
      </c>
      <c r="D10" s="4">
        <v>2.07</v>
      </c>
      <c r="E10" s="8">
        <f t="shared" si="2"/>
        <v>476.1</v>
      </c>
      <c r="F10" s="8">
        <f t="shared" si="3"/>
        <v>397.44</v>
      </c>
      <c r="G10" s="4" t="s">
        <v>17</v>
      </c>
      <c r="H10" s="4" t="s">
        <v>11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5.75" customHeight="1">
      <c r="A11" s="7">
        <v>46113.0</v>
      </c>
      <c r="B11" s="4">
        <v>1.0</v>
      </c>
      <c r="C11" s="4" t="s">
        <v>15</v>
      </c>
      <c r="D11" s="4">
        <v>2.2</v>
      </c>
      <c r="E11" s="8"/>
      <c r="F11" s="8">
        <f t="shared" ref="F11:F13" si="4">(D11*175)</f>
        <v>385</v>
      </c>
      <c r="G11" s="4" t="s">
        <v>17</v>
      </c>
      <c r="H11" s="4" t="s">
        <v>11</v>
      </c>
      <c r="I11" s="3"/>
      <c r="J11" s="3"/>
      <c r="K11" s="4"/>
      <c r="L11" s="4"/>
      <c r="M11" s="4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5.75" customHeight="1">
      <c r="A12" s="7">
        <v>46113.0</v>
      </c>
      <c r="B12" s="4">
        <v>2.0</v>
      </c>
      <c r="C12" s="4" t="s">
        <v>15</v>
      </c>
      <c r="D12" s="4">
        <v>2.24</v>
      </c>
      <c r="E12" s="8"/>
      <c r="F12" s="8">
        <f t="shared" si="4"/>
        <v>392</v>
      </c>
      <c r="G12" s="4" t="s">
        <v>17</v>
      </c>
      <c r="H12" s="4" t="s">
        <v>11</v>
      </c>
      <c r="I12" s="3"/>
      <c r="J12" s="3"/>
      <c r="K12" s="4"/>
      <c r="L12" s="4"/>
      <c r="M12" s="4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5.75" customHeight="1">
      <c r="A13" s="7">
        <v>46113.0</v>
      </c>
      <c r="B13" s="4">
        <v>3.0</v>
      </c>
      <c r="C13" s="4" t="s">
        <v>15</v>
      </c>
      <c r="D13" s="4">
        <v>2.15</v>
      </c>
      <c r="E13" s="8"/>
      <c r="F13" s="8">
        <f t="shared" si="4"/>
        <v>376.25</v>
      </c>
      <c r="G13" s="4" t="s">
        <v>17</v>
      </c>
      <c r="H13" s="4" t="s">
        <v>11</v>
      </c>
      <c r="I13" s="3"/>
      <c r="J13" s="3"/>
      <c r="K13" s="4"/>
      <c r="L13" s="4"/>
      <c r="M13" s="4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5.75" customHeight="1">
      <c r="A14" s="7">
        <v>46113.0</v>
      </c>
      <c r="B14" s="4">
        <v>4.0</v>
      </c>
      <c r="C14" s="4" t="s">
        <v>15</v>
      </c>
      <c r="D14" s="4">
        <v>2.385</v>
      </c>
      <c r="E14" s="8"/>
      <c r="F14" s="15">
        <f>(D14*175)</f>
        <v>417.375</v>
      </c>
      <c r="G14" s="4" t="s">
        <v>51</v>
      </c>
      <c r="H14" s="4" t="s">
        <v>11</v>
      </c>
      <c r="I14" s="3"/>
      <c r="J14" s="3"/>
      <c r="K14" s="4"/>
      <c r="L14" s="4"/>
      <c r="M14" s="4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5.75" customHeight="1">
      <c r="A15" s="7">
        <v>46113.0</v>
      </c>
      <c r="B15" s="4">
        <v>1.0</v>
      </c>
      <c r="C15" s="4" t="s">
        <v>15</v>
      </c>
      <c r="D15" s="4">
        <v>2.32</v>
      </c>
      <c r="E15" s="8"/>
      <c r="F15" s="8">
        <f t="shared" ref="F15:F34" si="5">(D15*174)</f>
        <v>403.68</v>
      </c>
      <c r="G15" s="4" t="s">
        <v>26</v>
      </c>
      <c r="H15" s="4" t="s">
        <v>11</v>
      </c>
      <c r="I15" s="3"/>
      <c r="J15" s="3"/>
      <c r="K15" s="4"/>
      <c r="L15" s="4"/>
      <c r="M15" s="4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5.75" customHeight="1">
      <c r="A16" s="7">
        <v>46113.0</v>
      </c>
      <c r="B16" s="4">
        <v>2.0</v>
      </c>
      <c r="C16" s="4" t="s">
        <v>15</v>
      </c>
      <c r="D16" s="4">
        <v>2.4</v>
      </c>
      <c r="E16" s="8"/>
      <c r="F16" s="8">
        <f t="shared" si="5"/>
        <v>417.6</v>
      </c>
      <c r="G16" s="4" t="s">
        <v>26</v>
      </c>
      <c r="H16" s="4" t="s">
        <v>11</v>
      </c>
      <c r="I16" s="3"/>
      <c r="J16" s="3"/>
      <c r="K16" s="4"/>
      <c r="L16" s="4"/>
      <c r="M16" s="4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5.75" customHeight="1">
      <c r="A17" s="7">
        <v>46113.0</v>
      </c>
      <c r="B17" s="4">
        <v>3.0</v>
      </c>
      <c r="C17" s="4" t="s">
        <v>15</v>
      </c>
      <c r="D17" s="4">
        <v>2.315</v>
      </c>
      <c r="E17" s="8"/>
      <c r="F17" s="8">
        <f t="shared" si="5"/>
        <v>402.81</v>
      </c>
      <c r="G17" s="4" t="s">
        <v>26</v>
      </c>
      <c r="H17" s="4" t="s">
        <v>11</v>
      </c>
      <c r="I17" s="3"/>
      <c r="J17" s="3"/>
      <c r="K17" s="4"/>
      <c r="L17" s="4"/>
      <c r="M17" s="4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5.75" customHeight="1">
      <c r="A18" s="7">
        <v>46113.0</v>
      </c>
      <c r="B18" s="4">
        <v>4.0</v>
      </c>
      <c r="C18" s="4" t="s">
        <v>15</v>
      </c>
      <c r="D18" s="4">
        <v>2.355</v>
      </c>
      <c r="E18" s="8"/>
      <c r="F18" s="8">
        <f t="shared" si="5"/>
        <v>409.77</v>
      </c>
      <c r="G18" s="4" t="s">
        <v>26</v>
      </c>
      <c r="H18" s="4" t="s">
        <v>11</v>
      </c>
      <c r="I18" s="3"/>
      <c r="J18" s="3"/>
      <c r="K18" s="4"/>
      <c r="L18" s="4"/>
      <c r="M18" s="4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5.75" customHeight="1">
      <c r="A19" s="7">
        <v>46113.0</v>
      </c>
      <c r="B19" s="4">
        <v>5.0</v>
      </c>
      <c r="C19" s="4" t="s">
        <v>15</v>
      </c>
      <c r="D19" s="4">
        <v>2.3</v>
      </c>
      <c r="E19" s="8"/>
      <c r="F19" s="8">
        <f t="shared" si="5"/>
        <v>400.2</v>
      </c>
      <c r="G19" s="4" t="s">
        <v>26</v>
      </c>
      <c r="H19" s="4" t="s">
        <v>11</v>
      </c>
      <c r="I19" s="3"/>
      <c r="J19" s="3"/>
      <c r="K19" s="4"/>
      <c r="L19" s="4"/>
      <c r="M19" s="4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5.75" customHeight="1">
      <c r="A20" s="7">
        <v>46113.0</v>
      </c>
      <c r="B20" s="4">
        <v>6.0</v>
      </c>
      <c r="C20" s="4" t="s">
        <v>15</v>
      </c>
      <c r="D20" s="4">
        <v>2.29</v>
      </c>
      <c r="E20" s="8"/>
      <c r="F20" s="8">
        <f t="shared" si="5"/>
        <v>398.46</v>
      </c>
      <c r="G20" s="4" t="s">
        <v>26</v>
      </c>
      <c r="H20" s="4" t="s">
        <v>11</v>
      </c>
      <c r="I20" s="3"/>
      <c r="J20" s="3"/>
      <c r="K20" s="4"/>
      <c r="L20" s="4"/>
      <c r="M20" s="4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75" customHeight="1">
      <c r="A21" s="16">
        <v>46113.0</v>
      </c>
      <c r="B21" s="4">
        <v>7.0</v>
      </c>
      <c r="C21" s="4" t="s">
        <v>15</v>
      </c>
      <c r="D21" s="4">
        <v>2.385</v>
      </c>
      <c r="E21" s="8"/>
      <c r="F21" s="8">
        <f t="shared" si="5"/>
        <v>414.99</v>
      </c>
      <c r="G21" s="4" t="s">
        <v>26</v>
      </c>
      <c r="H21" s="4" t="s">
        <v>11</v>
      </c>
      <c r="I21" s="3"/>
      <c r="J21" s="3"/>
      <c r="K21" s="4"/>
      <c r="L21" s="4"/>
      <c r="M21" s="4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75" customHeight="1">
      <c r="A22" s="7">
        <v>46113.0</v>
      </c>
      <c r="B22" s="4">
        <v>8.0</v>
      </c>
      <c r="C22" s="4" t="s">
        <v>15</v>
      </c>
      <c r="D22" s="4">
        <v>2.34</v>
      </c>
      <c r="E22" s="8"/>
      <c r="F22" s="8">
        <f t="shared" si="5"/>
        <v>407.16</v>
      </c>
      <c r="G22" s="4" t="s">
        <v>26</v>
      </c>
      <c r="H22" s="4" t="s">
        <v>11</v>
      </c>
      <c r="I22" s="3"/>
      <c r="J22" s="3"/>
      <c r="K22" s="4"/>
      <c r="L22" s="4"/>
      <c r="M22" s="4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>
      <c r="A23" s="7">
        <v>46113.0</v>
      </c>
      <c r="B23" s="4">
        <v>9.0</v>
      </c>
      <c r="C23" s="4" t="s">
        <v>15</v>
      </c>
      <c r="D23" s="4">
        <v>2.055</v>
      </c>
      <c r="E23" s="8"/>
      <c r="F23" s="8">
        <f t="shared" si="5"/>
        <v>357.57</v>
      </c>
      <c r="G23" s="4" t="s">
        <v>26</v>
      </c>
      <c r="H23" s="4" t="s">
        <v>11</v>
      </c>
      <c r="I23" s="3"/>
      <c r="J23" s="3"/>
      <c r="K23" s="4"/>
      <c r="L23" s="4"/>
      <c r="M23" s="4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75" customHeight="1">
      <c r="A24" s="7">
        <v>46113.0</v>
      </c>
      <c r="B24" s="4">
        <v>10.0</v>
      </c>
      <c r="C24" s="4" t="s">
        <v>15</v>
      </c>
      <c r="D24" s="4">
        <v>2.34</v>
      </c>
      <c r="E24" s="8"/>
      <c r="F24" s="8">
        <f t="shared" si="5"/>
        <v>407.16</v>
      </c>
      <c r="G24" s="4" t="s">
        <v>26</v>
      </c>
      <c r="H24" s="4" t="s">
        <v>11</v>
      </c>
      <c r="I24" s="3"/>
      <c r="J24" s="3"/>
      <c r="K24" s="4"/>
      <c r="L24" s="4"/>
      <c r="M24" s="4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75" customHeight="1">
      <c r="A25" s="7">
        <v>46113.0</v>
      </c>
      <c r="B25" s="4">
        <v>11.0</v>
      </c>
      <c r="C25" s="4" t="s">
        <v>15</v>
      </c>
      <c r="D25" s="4">
        <v>2.065</v>
      </c>
      <c r="E25" s="8"/>
      <c r="F25" s="8">
        <f t="shared" si="5"/>
        <v>359.31</v>
      </c>
      <c r="G25" s="4" t="s">
        <v>26</v>
      </c>
      <c r="H25" s="4" t="s">
        <v>11</v>
      </c>
      <c r="I25" s="3"/>
      <c r="J25" s="3"/>
      <c r="K25" s="4"/>
      <c r="L25" s="4"/>
      <c r="M25" s="4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75" customHeight="1">
      <c r="A26" s="7">
        <v>46113.0</v>
      </c>
      <c r="B26" s="4">
        <v>12.0</v>
      </c>
      <c r="C26" s="4" t="s">
        <v>15</v>
      </c>
      <c r="D26" s="4">
        <v>2.23</v>
      </c>
      <c r="E26" s="8"/>
      <c r="F26" s="8">
        <f t="shared" si="5"/>
        <v>388.02</v>
      </c>
      <c r="G26" s="4" t="s">
        <v>26</v>
      </c>
      <c r="H26" s="4" t="s">
        <v>11</v>
      </c>
      <c r="I26" s="3"/>
      <c r="J26" s="3"/>
      <c r="K26" s="4"/>
      <c r="L26" s="4"/>
      <c r="M26" s="4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75" customHeight="1">
      <c r="A27" s="7">
        <v>46113.0</v>
      </c>
      <c r="B27" s="4">
        <v>13.0</v>
      </c>
      <c r="C27" s="4" t="s">
        <v>15</v>
      </c>
      <c r="D27" s="4">
        <v>2.06</v>
      </c>
      <c r="E27" s="8"/>
      <c r="F27" s="8">
        <f t="shared" si="5"/>
        <v>358.44</v>
      </c>
      <c r="G27" s="4" t="s">
        <v>26</v>
      </c>
      <c r="H27" s="4" t="s">
        <v>11</v>
      </c>
      <c r="I27" s="3"/>
      <c r="J27" s="3"/>
      <c r="K27" s="4"/>
      <c r="L27" s="4"/>
      <c r="M27" s="4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75" customHeight="1">
      <c r="A28" s="7">
        <v>46113.0</v>
      </c>
      <c r="B28" s="4">
        <v>14.0</v>
      </c>
      <c r="C28" s="4" t="s">
        <v>15</v>
      </c>
      <c r="D28" s="4">
        <v>2.4</v>
      </c>
      <c r="E28" s="8"/>
      <c r="F28" s="8">
        <f t="shared" si="5"/>
        <v>417.6</v>
      </c>
      <c r="G28" s="4" t="s">
        <v>26</v>
      </c>
      <c r="H28" s="4" t="s">
        <v>11</v>
      </c>
      <c r="I28" s="3"/>
      <c r="J28" s="3"/>
      <c r="K28" s="4"/>
      <c r="L28" s="4"/>
      <c r="M28" s="4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75" customHeight="1">
      <c r="A29" s="7">
        <v>46113.0</v>
      </c>
      <c r="B29" s="4">
        <v>15.0</v>
      </c>
      <c r="C29" s="4" t="s">
        <v>15</v>
      </c>
      <c r="D29" s="4">
        <v>2.29</v>
      </c>
      <c r="E29" s="8"/>
      <c r="F29" s="8">
        <f t="shared" si="5"/>
        <v>398.46</v>
      </c>
      <c r="G29" s="4" t="s">
        <v>26</v>
      </c>
      <c r="H29" s="4" t="s">
        <v>11</v>
      </c>
      <c r="I29" s="3"/>
      <c r="J29" s="3"/>
      <c r="K29" s="4"/>
      <c r="L29" s="4"/>
      <c r="M29" s="4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75" customHeight="1">
      <c r="A30" s="7">
        <v>46113.0</v>
      </c>
      <c r="B30" s="4">
        <v>16.0</v>
      </c>
      <c r="C30" s="4" t="s">
        <v>15</v>
      </c>
      <c r="D30" s="4">
        <v>2.425</v>
      </c>
      <c r="E30" s="8"/>
      <c r="F30" s="8">
        <f t="shared" si="5"/>
        <v>421.95</v>
      </c>
      <c r="G30" s="4" t="s">
        <v>26</v>
      </c>
      <c r="H30" s="4" t="s">
        <v>44</v>
      </c>
      <c r="I30" s="3"/>
      <c r="J30" s="3"/>
      <c r="K30" s="4"/>
      <c r="L30" s="4"/>
      <c r="M30" s="4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75" customHeight="1">
      <c r="A31" s="7">
        <v>46113.0</v>
      </c>
      <c r="B31" s="4">
        <v>17.0</v>
      </c>
      <c r="C31" s="4" t="s">
        <v>15</v>
      </c>
      <c r="D31" s="4">
        <v>2.29</v>
      </c>
      <c r="E31" s="8"/>
      <c r="F31" s="8">
        <f t="shared" si="5"/>
        <v>398.46</v>
      </c>
      <c r="G31" s="4" t="s">
        <v>26</v>
      </c>
      <c r="H31" s="4" t="s">
        <v>11</v>
      </c>
      <c r="I31" s="3"/>
      <c r="J31" s="3"/>
      <c r="K31" s="4"/>
      <c r="L31" s="4"/>
      <c r="M31" s="4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7">
        <v>46113.0</v>
      </c>
      <c r="B32" s="4">
        <v>18.0</v>
      </c>
      <c r="C32" s="4" t="s">
        <v>15</v>
      </c>
      <c r="D32" s="4">
        <v>2.355</v>
      </c>
      <c r="E32" s="8"/>
      <c r="F32" s="8">
        <f t="shared" si="5"/>
        <v>409.77</v>
      </c>
      <c r="G32" s="4" t="s">
        <v>26</v>
      </c>
      <c r="H32" s="4" t="s">
        <v>11</v>
      </c>
      <c r="I32" s="3"/>
      <c r="J32" s="3"/>
      <c r="K32" s="4"/>
      <c r="L32" s="4"/>
      <c r="M32" s="4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75" customHeight="1">
      <c r="A33" s="7">
        <v>46113.0</v>
      </c>
      <c r="B33" s="4">
        <v>19.0</v>
      </c>
      <c r="C33" s="4" t="s">
        <v>15</v>
      </c>
      <c r="D33" s="4">
        <v>2.19</v>
      </c>
      <c r="E33" s="8"/>
      <c r="F33" s="8">
        <f t="shared" si="5"/>
        <v>381.06</v>
      </c>
      <c r="G33" s="4" t="s">
        <v>26</v>
      </c>
      <c r="H33" s="4" t="s">
        <v>11</v>
      </c>
      <c r="I33" s="3"/>
      <c r="J33" s="3"/>
      <c r="K33" s="4"/>
      <c r="L33" s="4"/>
      <c r="M33" s="4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75" customHeight="1">
      <c r="A34" s="7">
        <v>46113.0</v>
      </c>
      <c r="B34" s="4">
        <v>20.0</v>
      </c>
      <c r="C34" s="4" t="s">
        <v>15</v>
      </c>
      <c r="D34" s="4">
        <v>2.045</v>
      </c>
      <c r="E34" s="8"/>
      <c r="F34" s="8">
        <f t="shared" si="5"/>
        <v>355.83</v>
      </c>
      <c r="G34" s="4" t="s">
        <v>26</v>
      </c>
      <c r="H34" s="4" t="s">
        <v>11</v>
      </c>
      <c r="I34" s="9"/>
      <c r="J34" s="3"/>
      <c r="K34" s="4"/>
      <c r="L34" s="4"/>
      <c r="M34" s="4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customHeight="1">
      <c r="A35" s="7">
        <v>46113.0</v>
      </c>
      <c r="B35" s="4">
        <v>1.0</v>
      </c>
      <c r="C35" s="4" t="s">
        <v>15</v>
      </c>
      <c r="D35" s="17">
        <v>2.47</v>
      </c>
      <c r="E35" s="8"/>
      <c r="F35" s="8">
        <f t="shared" ref="F35:F64" si="6">(D35*175)</f>
        <v>432.25</v>
      </c>
      <c r="G35" s="4" t="s">
        <v>52</v>
      </c>
      <c r="H35" s="4" t="s">
        <v>11</v>
      </c>
      <c r="I35" s="3"/>
      <c r="J35" s="3"/>
      <c r="K35" s="4"/>
      <c r="L35" s="4"/>
      <c r="M35" s="4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75" customHeight="1">
      <c r="A36" s="7">
        <v>46113.0</v>
      </c>
      <c r="B36" s="4">
        <v>2.0</v>
      </c>
      <c r="C36" s="4" t="s">
        <v>15</v>
      </c>
      <c r="D36" s="17">
        <v>2.4</v>
      </c>
      <c r="E36" s="8"/>
      <c r="F36" s="8">
        <f t="shared" si="6"/>
        <v>420</v>
      </c>
      <c r="G36" s="4" t="s">
        <v>52</v>
      </c>
      <c r="H36" s="4" t="s">
        <v>11</v>
      </c>
      <c r="I36" s="3"/>
      <c r="J36" s="3"/>
      <c r="K36" s="4"/>
      <c r="L36" s="4"/>
      <c r="M36" s="4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75" customHeight="1">
      <c r="A37" s="7">
        <v>46113.0</v>
      </c>
      <c r="B37" s="4">
        <v>3.0</v>
      </c>
      <c r="C37" s="4" t="s">
        <v>15</v>
      </c>
      <c r="D37" s="17">
        <v>2.355</v>
      </c>
      <c r="E37" s="8"/>
      <c r="F37" s="8">
        <f t="shared" si="6"/>
        <v>412.125</v>
      </c>
      <c r="G37" s="4" t="s">
        <v>52</v>
      </c>
      <c r="H37" s="4" t="s">
        <v>11</v>
      </c>
      <c r="I37" s="3"/>
      <c r="J37" s="3"/>
      <c r="K37" s="4"/>
      <c r="L37" s="4"/>
      <c r="M37" s="4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.75" customHeight="1">
      <c r="A38" s="7">
        <v>46113.0</v>
      </c>
      <c r="B38" s="4">
        <v>4.0</v>
      </c>
      <c r="C38" s="4" t="s">
        <v>15</v>
      </c>
      <c r="D38" s="17">
        <v>2.465</v>
      </c>
      <c r="E38" s="8"/>
      <c r="F38" s="8">
        <f t="shared" si="6"/>
        <v>431.375</v>
      </c>
      <c r="G38" s="4" t="s">
        <v>52</v>
      </c>
      <c r="H38" s="4" t="s">
        <v>11</v>
      </c>
      <c r="I38" s="3"/>
      <c r="J38" s="3"/>
      <c r="K38" s="4"/>
      <c r="L38" s="4"/>
      <c r="M38" s="4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5.75" customHeight="1">
      <c r="A39" s="7">
        <v>46113.0</v>
      </c>
      <c r="B39" s="4">
        <v>5.0</v>
      </c>
      <c r="C39" s="4" t="s">
        <v>15</v>
      </c>
      <c r="D39" s="17">
        <v>2.06</v>
      </c>
      <c r="E39" s="8"/>
      <c r="F39" s="8">
        <f t="shared" si="6"/>
        <v>360.5</v>
      </c>
      <c r="G39" s="4" t="s">
        <v>52</v>
      </c>
      <c r="H39" s="4" t="s">
        <v>11</v>
      </c>
      <c r="I39" s="3"/>
      <c r="J39" s="3"/>
      <c r="K39" s="4"/>
      <c r="L39" s="4"/>
      <c r="M39" s="4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5.75" customHeight="1">
      <c r="A40" s="7">
        <v>46113.0</v>
      </c>
      <c r="B40" s="4">
        <v>6.0</v>
      </c>
      <c r="C40" s="4" t="s">
        <v>15</v>
      </c>
      <c r="D40" s="17">
        <v>2.165</v>
      </c>
      <c r="E40" s="8"/>
      <c r="F40" s="8">
        <f t="shared" si="6"/>
        <v>378.875</v>
      </c>
      <c r="G40" s="4" t="s">
        <v>52</v>
      </c>
      <c r="H40" s="4" t="s">
        <v>11</v>
      </c>
      <c r="I40" s="3"/>
      <c r="J40" s="3"/>
      <c r="K40" s="4"/>
      <c r="L40" s="4"/>
      <c r="M40" s="4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75" customHeight="1">
      <c r="A41" s="7">
        <v>46113.0</v>
      </c>
      <c r="B41" s="4">
        <v>7.0</v>
      </c>
      <c r="C41" s="4" t="s">
        <v>15</v>
      </c>
      <c r="D41" s="17">
        <v>1.925</v>
      </c>
      <c r="E41" s="8"/>
      <c r="F41" s="8">
        <f t="shared" si="6"/>
        <v>336.875</v>
      </c>
      <c r="G41" s="4" t="s">
        <v>52</v>
      </c>
      <c r="H41" s="4" t="s">
        <v>11</v>
      </c>
      <c r="I41" s="3"/>
      <c r="J41" s="3"/>
      <c r="K41" s="4"/>
      <c r="L41" s="4"/>
      <c r="M41" s="4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.75" customHeight="1">
      <c r="A42" s="7">
        <v>46113.0</v>
      </c>
      <c r="B42" s="4">
        <v>8.0</v>
      </c>
      <c r="C42" s="4" t="s">
        <v>15</v>
      </c>
      <c r="D42" s="17">
        <v>1.57</v>
      </c>
      <c r="E42" s="8"/>
      <c r="F42" s="8">
        <f t="shared" si="6"/>
        <v>274.75</v>
      </c>
      <c r="G42" s="4" t="s">
        <v>52</v>
      </c>
      <c r="H42" s="4" t="s">
        <v>11</v>
      </c>
      <c r="I42" s="3"/>
      <c r="J42" s="3"/>
      <c r="K42" s="4"/>
      <c r="L42" s="4"/>
      <c r="M42" s="4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.75" customHeight="1">
      <c r="A43" s="7">
        <v>46113.0</v>
      </c>
      <c r="B43" s="4">
        <v>9.0</v>
      </c>
      <c r="C43" s="4" t="s">
        <v>15</v>
      </c>
      <c r="D43" s="17">
        <v>2.635</v>
      </c>
      <c r="E43" s="8"/>
      <c r="F43" s="8">
        <f t="shared" si="6"/>
        <v>461.125</v>
      </c>
      <c r="G43" s="4" t="s">
        <v>52</v>
      </c>
      <c r="H43" s="4" t="s">
        <v>11</v>
      </c>
      <c r="I43" s="3"/>
      <c r="J43" s="3"/>
      <c r="K43" s="4"/>
      <c r="L43" s="4"/>
      <c r="M43" s="4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>
      <c r="A44" s="7">
        <v>46113.0</v>
      </c>
      <c r="B44" s="4">
        <v>10.0</v>
      </c>
      <c r="C44" s="4" t="s">
        <v>15</v>
      </c>
      <c r="D44" s="17">
        <v>2.54</v>
      </c>
      <c r="E44" s="8"/>
      <c r="F44" s="8">
        <f t="shared" si="6"/>
        <v>444.5</v>
      </c>
      <c r="G44" s="4" t="s">
        <v>52</v>
      </c>
      <c r="H44" s="4" t="s">
        <v>11</v>
      </c>
      <c r="I44" s="3"/>
      <c r="J44" s="3"/>
      <c r="K44" s="4"/>
      <c r="L44" s="4"/>
      <c r="M44" s="4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.75" customHeight="1">
      <c r="A45" s="7">
        <v>46113.0</v>
      </c>
      <c r="B45" s="4">
        <v>11.0</v>
      </c>
      <c r="C45" s="4" t="s">
        <v>15</v>
      </c>
      <c r="D45" s="17">
        <v>2.36</v>
      </c>
      <c r="E45" s="8"/>
      <c r="F45" s="8">
        <f t="shared" si="6"/>
        <v>413</v>
      </c>
      <c r="G45" s="4" t="s">
        <v>52</v>
      </c>
      <c r="H45" s="4" t="s">
        <v>11</v>
      </c>
      <c r="I45" s="3"/>
      <c r="J45" s="3"/>
      <c r="K45" s="4"/>
      <c r="L45" s="4"/>
      <c r="M45" s="4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.75" customHeight="1">
      <c r="A46" s="7">
        <v>46113.0</v>
      </c>
      <c r="B46" s="4">
        <v>12.0</v>
      </c>
      <c r="C46" s="4" t="s">
        <v>15</v>
      </c>
      <c r="D46" s="17">
        <v>2.445</v>
      </c>
      <c r="E46" s="8"/>
      <c r="F46" s="8">
        <f t="shared" si="6"/>
        <v>427.875</v>
      </c>
      <c r="G46" s="4" t="s">
        <v>52</v>
      </c>
      <c r="H46" s="4" t="s">
        <v>11</v>
      </c>
      <c r="I46" s="3"/>
      <c r="J46" s="3"/>
      <c r="K46" s="4"/>
      <c r="L46" s="4"/>
      <c r="M46" s="4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75" customHeight="1">
      <c r="A47" s="7">
        <v>46113.0</v>
      </c>
      <c r="B47" s="4">
        <v>13.0</v>
      </c>
      <c r="C47" s="4" t="s">
        <v>15</v>
      </c>
      <c r="D47" s="17">
        <v>2.21</v>
      </c>
      <c r="E47" s="8"/>
      <c r="F47" s="8">
        <f t="shared" si="6"/>
        <v>386.75</v>
      </c>
      <c r="G47" s="4" t="s">
        <v>52</v>
      </c>
      <c r="H47" s="4" t="s">
        <v>11</v>
      </c>
      <c r="I47" s="3"/>
      <c r="J47" s="3"/>
      <c r="K47" s="4"/>
      <c r="L47" s="4"/>
      <c r="M47" s="4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5.75" customHeight="1">
      <c r="A48" s="7">
        <v>46113.0</v>
      </c>
      <c r="B48" s="4">
        <v>14.0</v>
      </c>
      <c r="C48" s="4" t="s">
        <v>15</v>
      </c>
      <c r="D48" s="17">
        <v>2.27</v>
      </c>
      <c r="E48" s="8"/>
      <c r="F48" s="8">
        <f t="shared" si="6"/>
        <v>397.25</v>
      </c>
      <c r="G48" s="4" t="s">
        <v>52</v>
      </c>
      <c r="H48" s="4" t="s">
        <v>11</v>
      </c>
      <c r="I48" s="3"/>
      <c r="J48" s="3"/>
      <c r="K48" s="4"/>
      <c r="L48" s="4"/>
      <c r="M48" s="4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5.75" customHeight="1">
      <c r="A49" s="7">
        <v>46113.0</v>
      </c>
      <c r="B49" s="4">
        <v>15.0</v>
      </c>
      <c r="C49" s="4" t="s">
        <v>15</v>
      </c>
      <c r="D49" s="17">
        <v>2.455</v>
      </c>
      <c r="E49" s="8"/>
      <c r="F49" s="8">
        <f t="shared" si="6"/>
        <v>429.625</v>
      </c>
      <c r="G49" s="4" t="s">
        <v>52</v>
      </c>
      <c r="H49" s="4" t="s">
        <v>11</v>
      </c>
      <c r="I49" s="3"/>
      <c r="J49" s="3"/>
      <c r="K49" s="4"/>
      <c r="L49" s="4"/>
      <c r="M49" s="4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5.75" customHeight="1">
      <c r="A50" s="7">
        <v>46113.0</v>
      </c>
      <c r="B50" s="4">
        <v>16.0</v>
      </c>
      <c r="C50" s="4" t="s">
        <v>15</v>
      </c>
      <c r="D50" s="17">
        <v>2.33</v>
      </c>
      <c r="E50" s="8"/>
      <c r="F50" s="8">
        <f t="shared" si="6"/>
        <v>407.75</v>
      </c>
      <c r="G50" s="4" t="s">
        <v>52</v>
      </c>
      <c r="H50" s="4" t="s">
        <v>11</v>
      </c>
      <c r="I50" s="3"/>
      <c r="J50" s="3"/>
      <c r="K50" s="4"/>
      <c r="L50" s="4"/>
      <c r="M50" s="4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5.75" customHeight="1">
      <c r="A51" s="7">
        <v>46113.0</v>
      </c>
      <c r="B51" s="4">
        <v>17.0</v>
      </c>
      <c r="C51" s="4" t="s">
        <v>15</v>
      </c>
      <c r="D51" s="17">
        <v>2.66</v>
      </c>
      <c r="E51" s="8"/>
      <c r="F51" s="8">
        <f t="shared" si="6"/>
        <v>465.5</v>
      </c>
      <c r="G51" s="4" t="s">
        <v>52</v>
      </c>
      <c r="H51" s="4" t="s">
        <v>11</v>
      </c>
      <c r="I51" s="3"/>
      <c r="J51" s="3"/>
      <c r="K51" s="4"/>
      <c r="L51" s="4"/>
      <c r="M51" s="4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5.75" customHeight="1">
      <c r="A52" s="7">
        <v>46113.0</v>
      </c>
      <c r="B52" s="4">
        <v>18.0</v>
      </c>
      <c r="C52" s="4" t="s">
        <v>15</v>
      </c>
      <c r="D52" s="17">
        <v>2.385</v>
      </c>
      <c r="E52" s="8"/>
      <c r="F52" s="8">
        <f t="shared" si="6"/>
        <v>417.375</v>
      </c>
      <c r="G52" s="4" t="s">
        <v>52</v>
      </c>
      <c r="H52" s="4" t="s">
        <v>11</v>
      </c>
      <c r="I52" s="3"/>
      <c r="J52" s="3"/>
      <c r="K52" s="4"/>
      <c r="L52" s="4"/>
      <c r="M52" s="4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5.75" customHeight="1">
      <c r="A53" s="7">
        <v>46113.0</v>
      </c>
      <c r="B53" s="4">
        <v>19.0</v>
      </c>
      <c r="C53" s="4" t="s">
        <v>15</v>
      </c>
      <c r="D53" s="17">
        <v>2.265</v>
      </c>
      <c r="E53" s="8"/>
      <c r="F53" s="8">
        <f t="shared" si="6"/>
        <v>396.375</v>
      </c>
      <c r="G53" s="4" t="s">
        <v>52</v>
      </c>
      <c r="H53" s="4" t="s">
        <v>11</v>
      </c>
      <c r="I53" s="3"/>
      <c r="J53" s="3"/>
      <c r="K53" s="4"/>
      <c r="L53" s="4"/>
      <c r="M53" s="4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5.75" customHeight="1">
      <c r="A54" s="7">
        <v>46113.0</v>
      </c>
      <c r="B54" s="4">
        <v>20.0</v>
      </c>
      <c r="C54" s="4" t="s">
        <v>15</v>
      </c>
      <c r="D54" s="17">
        <v>2.315</v>
      </c>
      <c r="E54" s="8"/>
      <c r="F54" s="8">
        <f t="shared" si="6"/>
        <v>405.125</v>
      </c>
      <c r="G54" s="4" t="s">
        <v>52</v>
      </c>
      <c r="H54" s="4" t="s">
        <v>11</v>
      </c>
      <c r="I54" s="18"/>
      <c r="J54" s="3"/>
      <c r="K54" s="4"/>
      <c r="L54" s="4"/>
      <c r="M54" s="4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5.75" customHeight="1">
      <c r="A55" s="7">
        <v>46113.0</v>
      </c>
      <c r="B55" s="4">
        <v>1.0</v>
      </c>
      <c r="C55" s="4" t="s">
        <v>15</v>
      </c>
      <c r="D55" s="19">
        <v>2.21</v>
      </c>
      <c r="E55" s="8"/>
      <c r="F55" s="8">
        <f t="shared" si="6"/>
        <v>386.75</v>
      </c>
      <c r="G55" s="4" t="s">
        <v>53</v>
      </c>
      <c r="H55" s="4" t="s">
        <v>11</v>
      </c>
      <c r="I55" s="3"/>
      <c r="J55" s="3"/>
      <c r="K55" s="4"/>
      <c r="L55" s="4"/>
      <c r="M55" s="4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5.75" customHeight="1">
      <c r="A56" s="7">
        <v>46113.0</v>
      </c>
      <c r="B56" s="4">
        <v>2.0</v>
      </c>
      <c r="C56" s="4" t="s">
        <v>15</v>
      </c>
      <c r="D56" s="19">
        <v>2.59</v>
      </c>
      <c r="E56" s="8"/>
      <c r="F56" s="8">
        <f t="shared" si="6"/>
        <v>453.25</v>
      </c>
      <c r="G56" s="4" t="s">
        <v>53</v>
      </c>
      <c r="H56" s="4" t="s">
        <v>11</v>
      </c>
      <c r="I56" s="3"/>
      <c r="J56" s="3"/>
      <c r="K56" s="4"/>
      <c r="L56" s="4"/>
      <c r="M56" s="4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5.75" customHeight="1">
      <c r="A57" s="7">
        <v>46113.0</v>
      </c>
      <c r="B57" s="4">
        <v>3.0</v>
      </c>
      <c r="C57" s="4" t="s">
        <v>15</v>
      </c>
      <c r="D57" s="19">
        <v>2.115</v>
      </c>
      <c r="E57" s="8"/>
      <c r="F57" s="8">
        <f t="shared" si="6"/>
        <v>370.125</v>
      </c>
      <c r="G57" s="4" t="s">
        <v>53</v>
      </c>
      <c r="H57" s="4" t="s">
        <v>11</v>
      </c>
      <c r="I57" s="3"/>
      <c r="J57" s="3"/>
      <c r="K57" s="4"/>
      <c r="L57" s="4"/>
      <c r="M57" s="4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5.75" customHeight="1">
      <c r="A58" s="7">
        <v>46113.0</v>
      </c>
      <c r="B58" s="4">
        <v>4.0</v>
      </c>
      <c r="C58" s="4" t="s">
        <v>15</v>
      </c>
      <c r="D58" s="19">
        <v>2.32</v>
      </c>
      <c r="E58" s="8"/>
      <c r="F58" s="8">
        <f t="shared" si="6"/>
        <v>406</v>
      </c>
      <c r="G58" s="4" t="s">
        <v>53</v>
      </c>
      <c r="H58" s="4" t="s">
        <v>11</v>
      </c>
      <c r="I58" s="3"/>
      <c r="J58" s="3"/>
      <c r="K58" s="4"/>
      <c r="L58" s="4"/>
      <c r="M58" s="4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5.75" customHeight="1">
      <c r="A59" s="7">
        <v>46113.0</v>
      </c>
      <c r="B59" s="4">
        <v>5.0</v>
      </c>
      <c r="C59" s="4" t="s">
        <v>15</v>
      </c>
      <c r="D59" s="19">
        <v>2.445</v>
      </c>
      <c r="E59" s="8"/>
      <c r="F59" s="8">
        <f t="shared" si="6"/>
        <v>427.875</v>
      </c>
      <c r="G59" s="4" t="s">
        <v>53</v>
      </c>
      <c r="H59" s="4" t="s">
        <v>11</v>
      </c>
      <c r="I59" s="3"/>
      <c r="J59" s="3"/>
      <c r="K59" s="4"/>
      <c r="L59" s="4"/>
      <c r="M59" s="4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5.75" customHeight="1">
      <c r="A60" s="7">
        <v>46113.0</v>
      </c>
      <c r="B60" s="4">
        <v>6.0</v>
      </c>
      <c r="C60" s="4" t="s">
        <v>15</v>
      </c>
      <c r="D60" s="19">
        <v>2.155</v>
      </c>
      <c r="E60" s="8"/>
      <c r="F60" s="8">
        <f t="shared" si="6"/>
        <v>377.125</v>
      </c>
      <c r="G60" s="4" t="s">
        <v>53</v>
      </c>
      <c r="H60" s="4" t="s">
        <v>11</v>
      </c>
      <c r="I60" s="3"/>
      <c r="J60" s="3"/>
      <c r="K60" s="4"/>
      <c r="L60" s="4"/>
      <c r="M60" s="4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5.75" customHeight="1">
      <c r="A61" s="7">
        <v>46113.0</v>
      </c>
      <c r="B61" s="4">
        <v>7.0</v>
      </c>
      <c r="C61" s="4" t="s">
        <v>15</v>
      </c>
      <c r="D61" s="19">
        <v>2.355</v>
      </c>
      <c r="E61" s="8"/>
      <c r="F61" s="8">
        <f t="shared" si="6"/>
        <v>412.125</v>
      </c>
      <c r="G61" s="4" t="s">
        <v>53</v>
      </c>
      <c r="H61" s="4" t="s">
        <v>11</v>
      </c>
      <c r="I61" s="3"/>
      <c r="J61" s="3"/>
      <c r="K61" s="4"/>
      <c r="L61" s="4"/>
      <c r="M61" s="4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5.75" customHeight="1">
      <c r="A62" s="7">
        <v>46113.0</v>
      </c>
      <c r="B62" s="4">
        <v>8.0</v>
      </c>
      <c r="C62" s="4" t="s">
        <v>15</v>
      </c>
      <c r="D62" s="19">
        <v>1.95</v>
      </c>
      <c r="E62" s="8"/>
      <c r="F62" s="8">
        <f t="shared" si="6"/>
        <v>341.25</v>
      </c>
      <c r="G62" s="4" t="s">
        <v>53</v>
      </c>
      <c r="H62" s="4" t="s">
        <v>11</v>
      </c>
      <c r="I62" s="3"/>
      <c r="J62" s="3"/>
      <c r="K62" s="4"/>
      <c r="L62" s="4"/>
      <c r="M62" s="4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5.75" customHeight="1">
      <c r="A63" s="7">
        <v>46113.0</v>
      </c>
      <c r="B63" s="4">
        <v>9.0</v>
      </c>
      <c r="C63" s="4" t="s">
        <v>15</v>
      </c>
      <c r="D63" s="19">
        <v>2.08</v>
      </c>
      <c r="E63" s="8"/>
      <c r="F63" s="8">
        <f t="shared" si="6"/>
        <v>364</v>
      </c>
      <c r="G63" s="4" t="s">
        <v>53</v>
      </c>
      <c r="H63" s="4" t="s">
        <v>11</v>
      </c>
      <c r="I63" s="3"/>
      <c r="J63" s="3"/>
      <c r="K63" s="4"/>
      <c r="L63" s="4"/>
      <c r="M63" s="4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A64" s="7">
        <v>46113.0</v>
      </c>
      <c r="B64" s="4">
        <v>10.0</v>
      </c>
      <c r="C64" s="4" t="s">
        <v>15</v>
      </c>
      <c r="D64" s="19">
        <v>2.385</v>
      </c>
      <c r="E64" s="8"/>
      <c r="F64" s="8">
        <f t="shared" si="6"/>
        <v>417.375</v>
      </c>
      <c r="G64" s="4" t="s">
        <v>53</v>
      </c>
      <c r="H64" s="4" t="s">
        <v>11</v>
      </c>
      <c r="I64" s="20"/>
      <c r="J64" s="3"/>
      <c r="K64" s="4"/>
      <c r="L64" s="4"/>
      <c r="M64" s="4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7">
        <v>46127.0</v>
      </c>
      <c r="B65" s="4">
        <v>16.0</v>
      </c>
      <c r="C65" s="4" t="s">
        <v>15</v>
      </c>
      <c r="D65" s="4">
        <v>3.14</v>
      </c>
      <c r="E65" s="3"/>
      <c r="F65" s="8">
        <f t="shared" ref="F65:F66" si="7">(D65*174)</f>
        <v>546.36</v>
      </c>
      <c r="G65" s="3" t="s">
        <v>54</v>
      </c>
      <c r="H65" s="4" t="s">
        <v>11</v>
      </c>
      <c r="I65" s="3"/>
      <c r="J65" s="3"/>
      <c r="K65" s="4"/>
      <c r="L65" s="4"/>
      <c r="M65" s="4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7">
        <v>46127.0</v>
      </c>
      <c r="B66" s="4">
        <v>17.0</v>
      </c>
      <c r="C66" s="4" t="s">
        <v>15</v>
      </c>
      <c r="D66" s="4">
        <v>2.425</v>
      </c>
      <c r="E66" s="3"/>
      <c r="F66" s="8">
        <f t="shared" si="7"/>
        <v>421.95</v>
      </c>
      <c r="G66" s="3" t="s">
        <v>25</v>
      </c>
      <c r="H66" s="4" t="s">
        <v>11</v>
      </c>
      <c r="I66" s="3"/>
      <c r="J66" s="3"/>
      <c r="K66" s="4"/>
      <c r="L66" s="4"/>
      <c r="M66" s="4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7">
        <v>46105.0</v>
      </c>
      <c r="B67" s="4">
        <v>1.0</v>
      </c>
      <c r="C67" s="4" t="s">
        <v>31</v>
      </c>
      <c r="D67" s="4">
        <v>1.195</v>
      </c>
      <c r="E67" s="8">
        <f t="shared" ref="E67:E71" si="8">(D67*230)</f>
        <v>274.85</v>
      </c>
      <c r="F67" s="8">
        <f t="shared" ref="F67:F71" si="9">(D67*192)</f>
        <v>229.44</v>
      </c>
      <c r="G67" s="4" t="s">
        <v>16</v>
      </c>
      <c r="H67" s="4" t="s">
        <v>11</v>
      </c>
      <c r="I67" s="3"/>
      <c r="J67" s="3"/>
      <c r="K67" s="4"/>
      <c r="L67" s="4"/>
      <c r="M67" s="4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7">
        <v>46105.0</v>
      </c>
      <c r="B68" s="4">
        <v>3.0</v>
      </c>
      <c r="C68" s="4" t="s">
        <v>31</v>
      </c>
      <c r="D68" s="4">
        <v>1.155</v>
      </c>
      <c r="E68" s="8">
        <f t="shared" si="8"/>
        <v>265.65</v>
      </c>
      <c r="F68" s="8">
        <f t="shared" si="9"/>
        <v>221.76</v>
      </c>
      <c r="G68" s="4" t="s">
        <v>16</v>
      </c>
      <c r="H68" s="4" t="s">
        <v>11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7">
        <v>46105.0</v>
      </c>
      <c r="B69" s="4">
        <v>4.0</v>
      </c>
      <c r="C69" s="4" t="s">
        <v>31</v>
      </c>
      <c r="D69" s="4">
        <v>1.09</v>
      </c>
      <c r="E69" s="8">
        <f t="shared" si="8"/>
        <v>250.7</v>
      </c>
      <c r="F69" s="8">
        <f t="shared" si="9"/>
        <v>209.28</v>
      </c>
      <c r="G69" s="4" t="s">
        <v>17</v>
      </c>
      <c r="H69" s="4" t="s">
        <v>11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7">
        <v>46105.0</v>
      </c>
      <c r="B70" s="4">
        <v>5.0</v>
      </c>
      <c r="C70" s="4" t="s">
        <v>31</v>
      </c>
      <c r="D70" s="4">
        <v>0.9</v>
      </c>
      <c r="E70" s="8">
        <f t="shared" si="8"/>
        <v>207</v>
      </c>
      <c r="F70" s="8">
        <f t="shared" si="9"/>
        <v>172.8</v>
      </c>
      <c r="G70" s="4" t="s">
        <v>17</v>
      </c>
      <c r="H70" s="4" t="s">
        <v>11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7">
        <v>46105.0</v>
      </c>
      <c r="B71" s="4">
        <v>9.0</v>
      </c>
      <c r="C71" s="4" t="s">
        <v>31</v>
      </c>
      <c r="D71" s="4">
        <v>1.015</v>
      </c>
      <c r="E71" s="8">
        <f t="shared" si="8"/>
        <v>233.45</v>
      </c>
      <c r="F71" s="8">
        <f t="shared" si="9"/>
        <v>194.88</v>
      </c>
      <c r="G71" s="4" t="s">
        <v>55</v>
      </c>
      <c r="H71" s="4" t="s">
        <v>11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7">
        <v>46119.0</v>
      </c>
      <c r="B72" s="4">
        <v>11.0</v>
      </c>
      <c r="C72" s="4" t="s">
        <v>31</v>
      </c>
      <c r="D72" s="4">
        <v>0.975</v>
      </c>
      <c r="E72" s="8"/>
      <c r="F72" s="8">
        <f t="shared" ref="F72:F75" si="10">(D72*175)</f>
        <v>170.625</v>
      </c>
      <c r="G72" s="4" t="s">
        <v>56</v>
      </c>
      <c r="H72" s="4" t="s">
        <v>11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7">
        <v>46119.0</v>
      </c>
      <c r="B73" s="4">
        <v>12.0</v>
      </c>
      <c r="C73" s="4" t="s">
        <v>31</v>
      </c>
      <c r="D73" s="4">
        <v>0.955</v>
      </c>
      <c r="E73" s="8"/>
      <c r="F73" s="8">
        <f t="shared" si="10"/>
        <v>167.125</v>
      </c>
      <c r="G73" s="4" t="s">
        <v>56</v>
      </c>
      <c r="H73" s="4" t="s">
        <v>11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7">
        <v>46127.0</v>
      </c>
      <c r="B74" s="4">
        <v>1.0</v>
      </c>
      <c r="C74" s="4" t="s">
        <v>31</v>
      </c>
      <c r="D74" s="4">
        <v>1.1</v>
      </c>
      <c r="E74" s="8"/>
      <c r="F74" s="8">
        <f t="shared" si="10"/>
        <v>192.5</v>
      </c>
      <c r="G74" s="4" t="s">
        <v>56</v>
      </c>
      <c r="H74" s="4" t="s">
        <v>11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7">
        <v>46127.0</v>
      </c>
      <c r="B75" s="4">
        <v>2.0</v>
      </c>
      <c r="C75" s="4" t="s">
        <v>31</v>
      </c>
      <c r="D75" s="4">
        <v>1.05</v>
      </c>
      <c r="E75" s="8"/>
      <c r="F75" s="8">
        <f t="shared" si="10"/>
        <v>183.75</v>
      </c>
      <c r="G75" s="4" t="s">
        <v>56</v>
      </c>
      <c r="H75" s="4" t="s">
        <v>11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7">
        <v>46105.0</v>
      </c>
      <c r="B76" s="4">
        <v>1.0</v>
      </c>
      <c r="C76" s="4" t="s">
        <v>9</v>
      </c>
      <c r="D76" s="4">
        <v>2.0</v>
      </c>
      <c r="E76" s="8">
        <f t="shared" ref="E76:E77" si="11">(D76*250)</f>
        <v>500</v>
      </c>
      <c r="F76" s="8">
        <f t="shared" ref="F76:F78" si="12">(D76*195)</f>
        <v>390</v>
      </c>
      <c r="G76" s="4" t="s">
        <v>16</v>
      </c>
      <c r="H76" s="4" t="s">
        <v>11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7">
        <v>46105.0</v>
      </c>
      <c r="B77" s="4">
        <v>2.0</v>
      </c>
      <c r="C77" s="4" t="s">
        <v>9</v>
      </c>
      <c r="D77" s="4">
        <v>2.045</v>
      </c>
      <c r="E77" s="8">
        <f t="shared" si="11"/>
        <v>511.25</v>
      </c>
      <c r="F77" s="8">
        <f t="shared" si="12"/>
        <v>398.775</v>
      </c>
      <c r="G77" s="4" t="s">
        <v>17</v>
      </c>
      <c r="H77" s="4" t="s">
        <v>11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7">
        <v>46113.0</v>
      </c>
      <c r="B78" s="4">
        <v>4.0</v>
      </c>
      <c r="C78" s="4" t="s">
        <v>9</v>
      </c>
      <c r="D78" s="4">
        <v>2.67</v>
      </c>
      <c r="E78" s="8"/>
      <c r="F78" s="8">
        <f t="shared" si="12"/>
        <v>520.65</v>
      </c>
      <c r="G78" s="4" t="s">
        <v>51</v>
      </c>
      <c r="H78" s="4" t="s">
        <v>11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7">
        <v>46105.0</v>
      </c>
      <c r="B79" s="4">
        <v>2.0</v>
      </c>
      <c r="C79" s="4" t="s">
        <v>36</v>
      </c>
      <c r="D79" s="4">
        <v>0.83</v>
      </c>
      <c r="E79" s="8">
        <f t="shared" ref="E79:E92" si="13">(D79+360)</f>
        <v>360.83</v>
      </c>
      <c r="F79" s="8">
        <f t="shared" ref="F79:F92" si="14">(D79+288)</f>
        <v>288.83</v>
      </c>
      <c r="G79" s="4" t="s">
        <v>16</v>
      </c>
      <c r="H79" s="4" t="s">
        <v>11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7">
        <v>46105.0</v>
      </c>
      <c r="B80" s="4">
        <v>3.0</v>
      </c>
      <c r="C80" s="4" t="s">
        <v>36</v>
      </c>
      <c r="D80" s="4">
        <v>0.655</v>
      </c>
      <c r="E80" s="8">
        <f t="shared" si="13"/>
        <v>360.655</v>
      </c>
      <c r="F80" s="8">
        <f t="shared" si="14"/>
        <v>288.655</v>
      </c>
      <c r="G80" s="4" t="s">
        <v>16</v>
      </c>
      <c r="H80" s="4" t="s">
        <v>11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7">
        <v>46105.0</v>
      </c>
      <c r="B81" s="4">
        <v>4.0</v>
      </c>
      <c r="C81" s="4" t="s">
        <v>36</v>
      </c>
      <c r="D81" s="4">
        <v>0.73</v>
      </c>
      <c r="E81" s="8">
        <f t="shared" si="13"/>
        <v>360.73</v>
      </c>
      <c r="F81" s="8">
        <f t="shared" si="14"/>
        <v>288.73</v>
      </c>
      <c r="G81" s="4" t="s">
        <v>16</v>
      </c>
      <c r="H81" s="4" t="s">
        <v>11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7">
        <v>46105.0</v>
      </c>
      <c r="B82" s="4">
        <v>5.0</v>
      </c>
      <c r="C82" s="4" t="s">
        <v>36</v>
      </c>
      <c r="D82" s="4">
        <v>0.82</v>
      </c>
      <c r="E82" s="8">
        <f t="shared" si="13"/>
        <v>360.82</v>
      </c>
      <c r="F82" s="8">
        <f t="shared" si="14"/>
        <v>288.82</v>
      </c>
      <c r="G82" s="4" t="s">
        <v>16</v>
      </c>
      <c r="H82" s="4" t="s">
        <v>11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7">
        <v>46105.0</v>
      </c>
      <c r="B83" s="4">
        <v>6.0</v>
      </c>
      <c r="C83" s="4" t="s">
        <v>36</v>
      </c>
      <c r="D83" s="4">
        <v>0.785</v>
      </c>
      <c r="E83" s="8">
        <f t="shared" si="13"/>
        <v>360.785</v>
      </c>
      <c r="F83" s="8">
        <f t="shared" si="14"/>
        <v>288.785</v>
      </c>
      <c r="G83" s="4" t="s">
        <v>57</v>
      </c>
      <c r="H83" s="4" t="s">
        <v>11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7">
        <v>46105.0</v>
      </c>
      <c r="B84" s="4">
        <v>12.0</v>
      </c>
      <c r="C84" s="4" t="s">
        <v>36</v>
      </c>
      <c r="D84" s="4">
        <v>0.65</v>
      </c>
      <c r="E84" s="8">
        <f t="shared" si="13"/>
        <v>360.65</v>
      </c>
      <c r="F84" s="8">
        <f t="shared" si="14"/>
        <v>288.65</v>
      </c>
      <c r="G84" s="4" t="s">
        <v>55</v>
      </c>
      <c r="H84" s="4" t="s">
        <v>11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7">
        <v>46105.0</v>
      </c>
      <c r="B85" s="4">
        <v>17.0</v>
      </c>
      <c r="C85" s="4" t="s">
        <v>36</v>
      </c>
      <c r="D85" s="4">
        <v>0.665</v>
      </c>
      <c r="E85" s="8">
        <f t="shared" si="13"/>
        <v>360.665</v>
      </c>
      <c r="F85" s="8">
        <f t="shared" si="14"/>
        <v>288.665</v>
      </c>
      <c r="G85" s="4" t="s">
        <v>55</v>
      </c>
      <c r="H85" s="4" t="s">
        <v>11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7">
        <v>46105.0</v>
      </c>
      <c r="B86" s="4">
        <v>19.0</v>
      </c>
      <c r="C86" s="4" t="s">
        <v>36</v>
      </c>
      <c r="D86" s="4">
        <v>0.6</v>
      </c>
      <c r="E86" s="8">
        <f t="shared" si="13"/>
        <v>360.6</v>
      </c>
      <c r="F86" s="8">
        <f t="shared" si="14"/>
        <v>288.6</v>
      </c>
      <c r="G86" s="4" t="s">
        <v>17</v>
      </c>
      <c r="H86" s="4" t="s">
        <v>11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7">
        <v>46105.0</v>
      </c>
      <c r="B87" s="4">
        <v>20.0</v>
      </c>
      <c r="C87" s="4" t="s">
        <v>36</v>
      </c>
      <c r="D87" s="21">
        <v>0.86</v>
      </c>
      <c r="E87" s="8">
        <f t="shared" si="13"/>
        <v>360.86</v>
      </c>
      <c r="F87" s="8">
        <f t="shared" si="14"/>
        <v>288.86</v>
      </c>
      <c r="G87" s="4" t="s">
        <v>16</v>
      </c>
      <c r="H87" s="4" t="s">
        <v>11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7">
        <v>46105.0</v>
      </c>
      <c r="B88" s="4">
        <v>21.0</v>
      </c>
      <c r="C88" s="4" t="s">
        <v>36</v>
      </c>
      <c r="D88" s="4">
        <v>0.775</v>
      </c>
      <c r="E88" s="8">
        <f t="shared" si="13"/>
        <v>360.775</v>
      </c>
      <c r="F88" s="8">
        <f t="shared" si="14"/>
        <v>288.775</v>
      </c>
      <c r="G88" s="4" t="s">
        <v>17</v>
      </c>
      <c r="H88" s="4" t="s">
        <v>11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7">
        <v>46105.0</v>
      </c>
      <c r="B89" s="4">
        <v>23.0</v>
      </c>
      <c r="C89" s="4" t="s">
        <v>36</v>
      </c>
      <c r="D89" s="4">
        <v>0.635</v>
      </c>
      <c r="E89" s="8">
        <f t="shared" si="13"/>
        <v>360.635</v>
      </c>
      <c r="F89" s="8">
        <f t="shared" si="14"/>
        <v>288.635</v>
      </c>
      <c r="G89" s="4" t="s">
        <v>17</v>
      </c>
      <c r="H89" s="4" t="s">
        <v>11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7">
        <v>46105.0</v>
      </c>
      <c r="B90" s="4">
        <v>24.0</v>
      </c>
      <c r="C90" s="4" t="s">
        <v>36</v>
      </c>
      <c r="D90" s="4">
        <v>0.61</v>
      </c>
      <c r="E90" s="8">
        <f t="shared" si="13"/>
        <v>360.61</v>
      </c>
      <c r="F90" s="8">
        <f t="shared" si="14"/>
        <v>288.61</v>
      </c>
      <c r="G90" s="4" t="s">
        <v>17</v>
      </c>
      <c r="H90" s="4" t="s">
        <v>11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7">
        <v>46105.0</v>
      </c>
      <c r="B91" s="4">
        <v>27.0</v>
      </c>
      <c r="C91" s="4" t="s">
        <v>36</v>
      </c>
      <c r="D91" s="12">
        <v>0.66</v>
      </c>
      <c r="E91" s="8">
        <f t="shared" si="13"/>
        <v>360.66</v>
      </c>
      <c r="F91" s="8">
        <f t="shared" si="14"/>
        <v>288.66</v>
      </c>
      <c r="G91" s="4" t="s">
        <v>55</v>
      </c>
      <c r="H91" s="4" t="s">
        <v>11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7">
        <v>46105.0</v>
      </c>
      <c r="B92" s="4">
        <v>30.0</v>
      </c>
      <c r="C92" s="4" t="s">
        <v>36</v>
      </c>
      <c r="D92" s="12">
        <v>0.645</v>
      </c>
      <c r="E92" s="8">
        <f t="shared" si="13"/>
        <v>360.645</v>
      </c>
      <c r="F92" s="8">
        <f t="shared" si="14"/>
        <v>288.645</v>
      </c>
      <c r="G92" s="4" t="s">
        <v>55</v>
      </c>
      <c r="H92" s="4" t="s">
        <v>11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7">
        <v>46119.0</v>
      </c>
      <c r="B93" s="4">
        <v>29.0</v>
      </c>
      <c r="C93" s="4" t="s">
        <v>36</v>
      </c>
      <c r="D93" s="4">
        <v>0.77</v>
      </c>
      <c r="E93" s="8"/>
      <c r="F93" s="8">
        <f>(D93*288)</f>
        <v>221.76</v>
      </c>
      <c r="G93" s="4" t="s">
        <v>56</v>
      </c>
      <c r="H93" s="4" t="s">
        <v>11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7">
        <v>46119.0</v>
      </c>
      <c r="B94" s="4">
        <v>29.0</v>
      </c>
      <c r="C94" s="4" t="s">
        <v>58</v>
      </c>
      <c r="D94" s="4">
        <v>0.735</v>
      </c>
      <c r="E94" s="9"/>
      <c r="F94" s="9">
        <f>(D94*288)</f>
        <v>211.68</v>
      </c>
      <c r="G94" s="4" t="s">
        <v>56</v>
      </c>
      <c r="H94" s="4" t="s">
        <v>11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7">
        <v>46119.0</v>
      </c>
      <c r="B95" s="4">
        <v>30.0</v>
      </c>
      <c r="C95" s="4" t="s">
        <v>58</v>
      </c>
      <c r="D95" s="4">
        <v>0.845</v>
      </c>
      <c r="E95" s="9">
        <f>(D95*360)</f>
        <v>304.2</v>
      </c>
      <c r="F95" s="9"/>
      <c r="G95" s="4" t="s">
        <v>59</v>
      </c>
      <c r="H95" s="4" t="s">
        <v>11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7">
        <v>46119.0</v>
      </c>
      <c r="B96" s="4">
        <v>31.0</v>
      </c>
      <c r="C96" s="4" t="s">
        <v>58</v>
      </c>
      <c r="D96" s="4">
        <v>0.725</v>
      </c>
      <c r="E96" s="9"/>
      <c r="F96" s="9">
        <f t="shared" ref="F96:F97" si="15">(D96*288)</f>
        <v>208.8</v>
      </c>
      <c r="G96" s="4" t="s">
        <v>56</v>
      </c>
      <c r="H96" s="4" t="s">
        <v>11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7">
        <v>46119.0</v>
      </c>
      <c r="B97" s="4">
        <v>32.0</v>
      </c>
      <c r="C97" s="4" t="s">
        <v>58</v>
      </c>
      <c r="D97" s="4">
        <v>0.775</v>
      </c>
      <c r="E97" s="9"/>
      <c r="F97" s="9">
        <f t="shared" si="15"/>
        <v>223.2</v>
      </c>
      <c r="G97" s="4" t="s">
        <v>56</v>
      </c>
      <c r="H97" s="4" t="s">
        <v>11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7">
        <v>46105.0</v>
      </c>
      <c r="B98" s="4">
        <v>1.0</v>
      </c>
      <c r="C98" s="4" t="s">
        <v>40</v>
      </c>
      <c r="D98" s="4">
        <v>0.73</v>
      </c>
      <c r="E98" s="8">
        <f t="shared" ref="E98:E103" si="16">(D98*280)</f>
        <v>204.4</v>
      </c>
      <c r="F98" s="8">
        <f t="shared" ref="F98:F103" si="17">(D98*230)</f>
        <v>167.9</v>
      </c>
      <c r="G98" s="4" t="s">
        <v>16</v>
      </c>
      <c r="H98" s="4" t="s">
        <v>11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7">
        <v>46105.0</v>
      </c>
      <c r="B99" s="4">
        <v>2.0</v>
      </c>
      <c r="C99" s="4" t="s">
        <v>40</v>
      </c>
      <c r="D99" s="4">
        <v>0.695</v>
      </c>
      <c r="E99" s="8">
        <f t="shared" si="16"/>
        <v>194.6</v>
      </c>
      <c r="F99" s="8">
        <f t="shared" si="17"/>
        <v>159.85</v>
      </c>
      <c r="G99" s="4" t="s">
        <v>16</v>
      </c>
      <c r="H99" s="4" t="s">
        <v>11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7">
        <v>46105.0</v>
      </c>
      <c r="B100" s="4">
        <v>3.0</v>
      </c>
      <c r="C100" s="4" t="s">
        <v>40</v>
      </c>
      <c r="D100" s="4">
        <v>0.675</v>
      </c>
      <c r="E100" s="8">
        <f t="shared" si="16"/>
        <v>189</v>
      </c>
      <c r="F100" s="8">
        <f t="shared" si="17"/>
        <v>155.25</v>
      </c>
      <c r="G100" s="4" t="s">
        <v>16</v>
      </c>
      <c r="H100" s="4" t="s">
        <v>11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7">
        <v>46105.0</v>
      </c>
      <c r="B101" s="4">
        <v>4.0</v>
      </c>
      <c r="C101" s="4" t="s">
        <v>40</v>
      </c>
      <c r="D101" s="4">
        <v>0.745</v>
      </c>
      <c r="E101" s="8">
        <f t="shared" si="16"/>
        <v>208.6</v>
      </c>
      <c r="F101" s="8">
        <f t="shared" si="17"/>
        <v>171.35</v>
      </c>
      <c r="G101" s="4" t="s">
        <v>16</v>
      </c>
      <c r="H101" s="4" t="s">
        <v>11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7">
        <v>46105.0</v>
      </c>
      <c r="B102" s="4">
        <v>5.0</v>
      </c>
      <c r="C102" s="4" t="s">
        <v>40</v>
      </c>
      <c r="D102" s="4">
        <v>0.7</v>
      </c>
      <c r="E102" s="8">
        <f t="shared" si="16"/>
        <v>196</v>
      </c>
      <c r="F102" s="8">
        <f t="shared" si="17"/>
        <v>161</v>
      </c>
      <c r="G102" s="4" t="s">
        <v>16</v>
      </c>
      <c r="H102" s="4" t="s">
        <v>11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7">
        <v>46105.0</v>
      </c>
      <c r="B103" s="4">
        <v>6.0</v>
      </c>
      <c r="C103" s="4" t="s">
        <v>40</v>
      </c>
      <c r="D103" s="4">
        <v>0.715</v>
      </c>
      <c r="E103" s="8">
        <f t="shared" si="16"/>
        <v>200.2</v>
      </c>
      <c r="F103" s="8">
        <f t="shared" si="17"/>
        <v>164.45</v>
      </c>
      <c r="G103" s="4" t="s">
        <v>16</v>
      </c>
      <c r="H103" s="4" t="s">
        <v>11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7">
        <v>46105.0</v>
      </c>
      <c r="B104" s="4">
        <v>16.0</v>
      </c>
      <c r="C104" s="4" t="s">
        <v>40</v>
      </c>
      <c r="D104" s="4">
        <v>0.71</v>
      </c>
      <c r="E104" s="8">
        <f t="shared" ref="E104:E108" si="18">(D104*290)</f>
        <v>205.9</v>
      </c>
      <c r="F104" s="8">
        <f t="shared" ref="F104:F108" si="19">(D104*242)</f>
        <v>171.82</v>
      </c>
      <c r="G104" s="4" t="s">
        <v>17</v>
      </c>
      <c r="H104" s="4" t="s">
        <v>11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7">
        <v>46105.0</v>
      </c>
      <c r="B105" s="4">
        <v>26.0</v>
      </c>
      <c r="C105" s="4" t="s">
        <v>40</v>
      </c>
      <c r="D105" s="4">
        <v>0.75</v>
      </c>
      <c r="E105" s="8">
        <f t="shared" si="18"/>
        <v>217.5</v>
      </c>
      <c r="F105" s="8">
        <f t="shared" si="19"/>
        <v>181.5</v>
      </c>
      <c r="G105" s="4" t="s">
        <v>17</v>
      </c>
      <c r="H105" s="4" t="s">
        <v>11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7">
        <v>46105.0</v>
      </c>
      <c r="B106" s="4">
        <v>27.0</v>
      </c>
      <c r="C106" s="4" t="s">
        <v>40</v>
      </c>
      <c r="D106" s="12">
        <v>0.715</v>
      </c>
      <c r="E106" s="8">
        <f t="shared" si="18"/>
        <v>207.35</v>
      </c>
      <c r="F106" s="8">
        <f t="shared" si="19"/>
        <v>173.03</v>
      </c>
      <c r="G106" s="4" t="s">
        <v>55</v>
      </c>
      <c r="H106" s="4" t="s">
        <v>11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7">
        <v>46105.0</v>
      </c>
      <c r="B107" s="4">
        <v>28.0</v>
      </c>
      <c r="C107" s="4" t="s">
        <v>40</v>
      </c>
      <c r="D107" s="4">
        <v>0.635</v>
      </c>
      <c r="E107" s="8">
        <f t="shared" si="18"/>
        <v>184.15</v>
      </c>
      <c r="F107" s="8">
        <f t="shared" si="19"/>
        <v>153.67</v>
      </c>
      <c r="G107" s="4" t="s">
        <v>17</v>
      </c>
      <c r="H107" s="4" t="s">
        <v>11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7">
        <v>46105.0</v>
      </c>
      <c r="B108" s="4">
        <v>29.0</v>
      </c>
      <c r="C108" s="4" t="s">
        <v>40</v>
      </c>
      <c r="D108" s="4">
        <v>0.71</v>
      </c>
      <c r="E108" s="8">
        <f t="shared" si="18"/>
        <v>205.9</v>
      </c>
      <c r="F108" s="8">
        <f t="shared" si="19"/>
        <v>171.82</v>
      </c>
      <c r="G108" s="4" t="s">
        <v>17</v>
      </c>
      <c r="H108" s="4" t="s">
        <v>11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16">
        <v>46113.0</v>
      </c>
      <c r="B109" s="4">
        <v>1.0</v>
      </c>
      <c r="C109" s="4" t="s">
        <v>40</v>
      </c>
      <c r="D109" s="4">
        <v>0.67</v>
      </c>
      <c r="E109" s="8">
        <f>(D109*280)</f>
        <v>187.6</v>
      </c>
      <c r="F109" s="8"/>
      <c r="G109" s="4" t="s">
        <v>55</v>
      </c>
      <c r="H109" s="4" t="s">
        <v>11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22">
        <v>46113.0</v>
      </c>
      <c r="B110" s="4">
        <v>26.0</v>
      </c>
      <c r="C110" s="4" t="s">
        <v>40</v>
      </c>
      <c r="D110" s="4">
        <v>0.695</v>
      </c>
      <c r="E110" s="8"/>
      <c r="F110" s="8">
        <f t="shared" ref="F110:F116" si="20">(D110*242)</f>
        <v>168.19</v>
      </c>
      <c r="G110" s="4" t="s">
        <v>60</v>
      </c>
      <c r="H110" s="4" t="s">
        <v>11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22">
        <v>46113.0</v>
      </c>
      <c r="B111" s="4">
        <v>27.0</v>
      </c>
      <c r="C111" s="4" t="s">
        <v>40</v>
      </c>
      <c r="D111" s="4">
        <v>0.72</v>
      </c>
      <c r="E111" s="8"/>
      <c r="F111" s="8">
        <f t="shared" si="20"/>
        <v>174.24</v>
      </c>
      <c r="G111" s="4" t="s">
        <v>60</v>
      </c>
      <c r="H111" s="4" t="s">
        <v>11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22">
        <v>46113.0</v>
      </c>
      <c r="B112" s="4">
        <v>28.0</v>
      </c>
      <c r="C112" s="4" t="s">
        <v>40</v>
      </c>
      <c r="D112" s="4">
        <v>0.655</v>
      </c>
      <c r="E112" s="8"/>
      <c r="F112" s="8">
        <f t="shared" si="20"/>
        <v>158.51</v>
      </c>
      <c r="G112" s="4" t="s">
        <v>60</v>
      </c>
      <c r="H112" s="4" t="s">
        <v>11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22">
        <v>46113.0</v>
      </c>
      <c r="B113" s="4">
        <v>29.0</v>
      </c>
      <c r="C113" s="4" t="s">
        <v>40</v>
      </c>
      <c r="D113" s="4">
        <v>0.685</v>
      </c>
      <c r="E113" s="8"/>
      <c r="F113" s="8">
        <f t="shared" si="20"/>
        <v>165.77</v>
      </c>
      <c r="G113" s="4" t="s">
        <v>60</v>
      </c>
      <c r="H113" s="4" t="s">
        <v>11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7">
        <v>46127.0</v>
      </c>
      <c r="B114" s="4">
        <v>19.0</v>
      </c>
      <c r="C114" s="4" t="s">
        <v>40</v>
      </c>
      <c r="D114" s="4">
        <v>0.94</v>
      </c>
      <c r="E114" s="8"/>
      <c r="F114" s="8">
        <f t="shared" si="20"/>
        <v>227.48</v>
      </c>
      <c r="G114" s="4" t="s">
        <v>56</v>
      </c>
      <c r="H114" s="4" t="s">
        <v>11</v>
      </c>
      <c r="I114" s="4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7">
        <v>46127.0</v>
      </c>
      <c r="B115" s="4">
        <v>20.0</v>
      </c>
      <c r="C115" s="4" t="s">
        <v>40</v>
      </c>
      <c r="D115" s="4">
        <v>0.91</v>
      </c>
      <c r="E115" s="8"/>
      <c r="F115" s="8">
        <f t="shared" si="20"/>
        <v>220.22</v>
      </c>
      <c r="G115" s="4" t="s">
        <v>56</v>
      </c>
      <c r="H115" s="4" t="s">
        <v>11</v>
      </c>
      <c r="I115" s="4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7">
        <v>46127.0</v>
      </c>
      <c r="B116" s="4">
        <v>30.0</v>
      </c>
      <c r="C116" s="4" t="s">
        <v>40</v>
      </c>
      <c r="D116" s="4">
        <v>0.845</v>
      </c>
      <c r="E116" s="8"/>
      <c r="F116" s="8">
        <f t="shared" si="20"/>
        <v>204.49</v>
      </c>
      <c r="G116" s="4" t="s">
        <v>56</v>
      </c>
      <c r="H116" s="4" t="s">
        <v>11</v>
      </c>
      <c r="I116" s="4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7">
        <v>46127.0</v>
      </c>
      <c r="B117" s="4">
        <v>1.0</v>
      </c>
      <c r="C117" s="4" t="s">
        <v>42</v>
      </c>
      <c r="D117" s="4">
        <v>0.5</v>
      </c>
      <c r="E117" s="8"/>
      <c r="F117" s="8">
        <v>160.0</v>
      </c>
      <c r="G117" s="4" t="s">
        <v>17</v>
      </c>
      <c r="H117" s="4" t="s">
        <v>11</v>
      </c>
      <c r="I117" s="4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7">
        <v>46127.0</v>
      </c>
      <c r="B118" s="4">
        <v>2.0</v>
      </c>
      <c r="C118" s="4" t="s">
        <v>42</v>
      </c>
      <c r="D118" s="4">
        <v>0.5</v>
      </c>
      <c r="E118" s="8"/>
      <c r="F118" s="8">
        <v>160.0</v>
      </c>
      <c r="G118" s="4" t="s">
        <v>17</v>
      </c>
      <c r="H118" s="4" t="s">
        <v>11</v>
      </c>
      <c r="I118" s="4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7">
        <v>46127.0</v>
      </c>
      <c r="B119" s="4">
        <v>3.0</v>
      </c>
      <c r="C119" s="4" t="s">
        <v>42</v>
      </c>
      <c r="D119" s="4">
        <v>0.5</v>
      </c>
      <c r="E119" s="8"/>
      <c r="F119" s="8">
        <v>160.0</v>
      </c>
      <c r="G119" s="4" t="s">
        <v>17</v>
      </c>
      <c r="H119" s="4" t="s">
        <v>11</v>
      </c>
      <c r="I119" s="4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7">
        <v>46127.0</v>
      </c>
      <c r="B120" s="4">
        <v>4.0</v>
      </c>
      <c r="C120" s="4" t="s">
        <v>42</v>
      </c>
      <c r="D120" s="4">
        <v>0.5</v>
      </c>
      <c r="E120" s="8"/>
      <c r="F120" s="8">
        <v>160.0</v>
      </c>
      <c r="G120" s="4" t="s">
        <v>17</v>
      </c>
      <c r="H120" s="4" t="s">
        <v>11</v>
      </c>
      <c r="I120" s="4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7">
        <v>46127.0</v>
      </c>
      <c r="B121" s="4">
        <v>5.0</v>
      </c>
      <c r="C121" s="4" t="s">
        <v>42</v>
      </c>
      <c r="D121" s="4">
        <v>0.5</v>
      </c>
      <c r="E121" s="8"/>
      <c r="F121" s="8">
        <v>160.0</v>
      </c>
      <c r="G121" s="4" t="s">
        <v>17</v>
      </c>
      <c r="H121" s="4" t="s">
        <v>11</v>
      </c>
      <c r="I121" s="4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7">
        <v>46127.0</v>
      </c>
      <c r="B122" s="4">
        <v>6.0</v>
      </c>
      <c r="C122" s="4" t="s">
        <v>42</v>
      </c>
      <c r="D122" s="4">
        <v>0.5</v>
      </c>
      <c r="E122" s="8"/>
      <c r="F122" s="8">
        <v>160.0</v>
      </c>
      <c r="G122" s="4" t="s">
        <v>17</v>
      </c>
      <c r="H122" s="4" t="s">
        <v>11</v>
      </c>
      <c r="I122" s="4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7">
        <v>46127.0</v>
      </c>
      <c r="B123" s="4">
        <v>7.0</v>
      </c>
      <c r="C123" s="4" t="s">
        <v>42</v>
      </c>
      <c r="D123" s="4">
        <v>0.5</v>
      </c>
      <c r="E123" s="8"/>
      <c r="F123" s="8">
        <v>160.0</v>
      </c>
      <c r="G123" s="4" t="s">
        <v>17</v>
      </c>
      <c r="H123" s="4" t="s">
        <v>11</v>
      </c>
      <c r="I123" s="4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7">
        <v>46127.0</v>
      </c>
      <c r="B124" s="4">
        <v>17.0</v>
      </c>
      <c r="C124" s="4" t="s">
        <v>42</v>
      </c>
      <c r="D124" s="4">
        <v>0.5</v>
      </c>
      <c r="E124" s="8"/>
      <c r="F124" s="8">
        <v>160.0</v>
      </c>
      <c r="G124" s="4" t="s">
        <v>56</v>
      </c>
      <c r="H124" s="4" t="s">
        <v>11</v>
      </c>
      <c r="I124" s="4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7">
        <v>46127.0</v>
      </c>
      <c r="B125" s="4">
        <v>18.0</v>
      </c>
      <c r="C125" s="4" t="s">
        <v>42</v>
      </c>
      <c r="D125" s="4">
        <v>0.5</v>
      </c>
      <c r="E125" s="8"/>
      <c r="F125" s="8">
        <v>160.0</v>
      </c>
      <c r="G125" s="4" t="s">
        <v>56</v>
      </c>
      <c r="H125" s="4" t="s">
        <v>11</v>
      </c>
      <c r="I125" s="4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7">
        <v>46127.0</v>
      </c>
      <c r="B126" s="4">
        <v>19.0</v>
      </c>
      <c r="C126" s="4" t="s">
        <v>42</v>
      </c>
      <c r="D126" s="4">
        <v>0.5</v>
      </c>
      <c r="E126" s="8"/>
      <c r="F126" s="8">
        <v>160.0</v>
      </c>
      <c r="G126" s="4" t="s">
        <v>56</v>
      </c>
      <c r="H126" s="4" t="s">
        <v>11</v>
      </c>
      <c r="I126" s="4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7">
        <v>46127.0</v>
      </c>
      <c r="B127" s="4">
        <v>37.0</v>
      </c>
      <c r="C127" s="4" t="s">
        <v>42</v>
      </c>
      <c r="D127" s="4">
        <v>0.5</v>
      </c>
      <c r="E127" s="8">
        <v>180.0</v>
      </c>
      <c r="F127" s="8"/>
      <c r="G127" s="4" t="s">
        <v>61</v>
      </c>
      <c r="H127" s="4" t="s">
        <v>11</v>
      </c>
      <c r="I127" s="4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7">
        <v>46127.0</v>
      </c>
      <c r="B128" s="4">
        <v>38.0</v>
      </c>
      <c r="C128" s="4" t="s">
        <v>42</v>
      </c>
      <c r="D128" s="4">
        <v>0.5</v>
      </c>
      <c r="E128" s="8">
        <v>180.0</v>
      </c>
      <c r="F128" s="8"/>
      <c r="G128" s="4" t="s">
        <v>61</v>
      </c>
      <c r="H128" s="4" t="s">
        <v>11</v>
      </c>
      <c r="I128" s="4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7">
        <v>46127.0</v>
      </c>
      <c r="B129" s="4">
        <v>39.0</v>
      </c>
      <c r="C129" s="4" t="s">
        <v>42</v>
      </c>
      <c r="D129" s="4">
        <v>0.5</v>
      </c>
      <c r="E129" s="8">
        <v>180.0</v>
      </c>
      <c r="F129" s="8"/>
      <c r="G129" s="4" t="s">
        <v>61</v>
      </c>
      <c r="H129" s="4" t="s">
        <v>11</v>
      </c>
      <c r="I129" s="4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7">
        <v>46127.0</v>
      </c>
      <c r="B130" s="4">
        <v>40.0</v>
      </c>
      <c r="C130" s="4" t="s">
        <v>42</v>
      </c>
      <c r="D130" s="4">
        <v>0.5</v>
      </c>
      <c r="E130" s="8">
        <v>180.0</v>
      </c>
      <c r="F130" s="8"/>
      <c r="G130" s="4" t="s">
        <v>61</v>
      </c>
      <c r="H130" s="4" t="s">
        <v>11</v>
      </c>
      <c r="I130" s="4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7">
        <v>46127.0</v>
      </c>
      <c r="B131" s="4">
        <v>41.0</v>
      </c>
      <c r="C131" s="4" t="s">
        <v>42</v>
      </c>
      <c r="D131" s="4">
        <v>0.5</v>
      </c>
      <c r="E131" s="8">
        <v>180.0</v>
      </c>
      <c r="F131" s="8"/>
      <c r="G131" s="4" t="s">
        <v>61</v>
      </c>
      <c r="H131" s="4" t="s">
        <v>11</v>
      </c>
      <c r="I131" s="4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7">
        <v>46127.0</v>
      </c>
      <c r="B132" s="4">
        <v>42.0</v>
      </c>
      <c r="C132" s="4" t="s">
        <v>42</v>
      </c>
      <c r="D132" s="4">
        <v>0.5</v>
      </c>
      <c r="E132" s="8">
        <v>180.0</v>
      </c>
      <c r="F132" s="8"/>
      <c r="G132" s="4" t="s">
        <v>61</v>
      </c>
      <c r="H132" s="4" t="s">
        <v>11</v>
      </c>
      <c r="I132" s="4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16">
        <v>46119.0</v>
      </c>
      <c r="B133" s="4">
        <v>1.0</v>
      </c>
      <c r="C133" s="4" t="s">
        <v>62</v>
      </c>
      <c r="D133" s="4">
        <v>0.5</v>
      </c>
      <c r="E133" s="8"/>
      <c r="F133" s="15">
        <v>175.0</v>
      </c>
      <c r="G133" s="4" t="s">
        <v>17</v>
      </c>
      <c r="H133" s="4" t="s">
        <v>11</v>
      </c>
      <c r="I133" s="4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16">
        <v>46119.0</v>
      </c>
      <c r="B134" s="4">
        <v>2.0</v>
      </c>
      <c r="C134" s="4" t="s">
        <v>62</v>
      </c>
      <c r="D134" s="4">
        <v>0.5</v>
      </c>
      <c r="E134" s="8"/>
      <c r="F134" s="15">
        <v>175.0</v>
      </c>
      <c r="G134" s="4" t="s">
        <v>17</v>
      </c>
      <c r="H134" s="4" t="s">
        <v>11</v>
      </c>
      <c r="I134" s="4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16">
        <v>46119.0</v>
      </c>
      <c r="B135" s="4">
        <v>17.0</v>
      </c>
      <c r="C135" s="4" t="s">
        <v>62</v>
      </c>
      <c r="D135" s="4">
        <v>0.5</v>
      </c>
      <c r="E135" s="8"/>
      <c r="F135" s="15">
        <v>175.0</v>
      </c>
      <c r="G135" s="4" t="s">
        <v>61</v>
      </c>
      <c r="H135" s="4" t="s">
        <v>11</v>
      </c>
      <c r="I135" s="4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16">
        <v>46119.0</v>
      </c>
      <c r="B136" s="4">
        <v>18.0</v>
      </c>
      <c r="C136" s="4" t="s">
        <v>62</v>
      </c>
      <c r="D136" s="4">
        <v>0.5</v>
      </c>
      <c r="E136" s="8"/>
      <c r="F136" s="15">
        <v>175.0</v>
      </c>
      <c r="G136" s="4" t="s">
        <v>61</v>
      </c>
      <c r="H136" s="4" t="s">
        <v>11</v>
      </c>
      <c r="I136" s="4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16">
        <v>46119.0</v>
      </c>
      <c r="B137" s="4">
        <v>19.0</v>
      </c>
      <c r="C137" s="4" t="s">
        <v>62</v>
      </c>
      <c r="D137" s="4">
        <v>0.5</v>
      </c>
      <c r="E137" s="8"/>
      <c r="F137" s="15">
        <v>175.0</v>
      </c>
      <c r="G137" s="4" t="s">
        <v>61</v>
      </c>
      <c r="H137" s="4" t="s">
        <v>11</v>
      </c>
      <c r="I137" s="4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16">
        <v>46119.0</v>
      </c>
      <c r="B138" s="4">
        <v>20.0</v>
      </c>
      <c r="C138" s="4" t="s">
        <v>62</v>
      </c>
      <c r="D138" s="4">
        <v>0.5</v>
      </c>
      <c r="E138" s="8"/>
      <c r="F138" s="15">
        <v>175.0</v>
      </c>
      <c r="G138" s="4" t="s">
        <v>61</v>
      </c>
      <c r="H138" s="4" t="s">
        <v>11</v>
      </c>
      <c r="I138" s="4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16">
        <v>46119.0</v>
      </c>
      <c r="B139" s="4">
        <v>21.0</v>
      </c>
      <c r="C139" s="4" t="s">
        <v>62</v>
      </c>
      <c r="D139" s="4">
        <v>0.5</v>
      </c>
      <c r="E139" s="8"/>
      <c r="F139" s="15">
        <v>175.0</v>
      </c>
      <c r="G139" s="4" t="s">
        <v>51</v>
      </c>
      <c r="H139" s="4" t="s">
        <v>11</v>
      </c>
      <c r="I139" s="4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16">
        <v>46119.0</v>
      </c>
      <c r="B140" s="4">
        <v>22.0</v>
      </c>
      <c r="C140" s="4" t="s">
        <v>62</v>
      </c>
      <c r="D140" s="4">
        <v>0.5</v>
      </c>
      <c r="E140" s="8"/>
      <c r="F140" s="15">
        <v>175.0</v>
      </c>
      <c r="G140" s="4" t="s">
        <v>51</v>
      </c>
      <c r="H140" s="4" t="s">
        <v>11</v>
      </c>
      <c r="I140" s="4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16">
        <v>46119.0</v>
      </c>
      <c r="B141" s="4">
        <v>23.0</v>
      </c>
      <c r="C141" s="4" t="s">
        <v>62</v>
      </c>
      <c r="D141" s="4">
        <v>0.5</v>
      </c>
      <c r="E141" s="8"/>
      <c r="F141" s="15">
        <v>175.0</v>
      </c>
      <c r="G141" s="4" t="s">
        <v>51</v>
      </c>
      <c r="H141" s="4" t="s">
        <v>11</v>
      </c>
      <c r="I141" s="4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16">
        <v>46119.0</v>
      </c>
      <c r="B142" s="4">
        <v>24.0</v>
      </c>
      <c r="C142" s="4" t="s">
        <v>62</v>
      </c>
      <c r="D142" s="4">
        <v>0.5</v>
      </c>
      <c r="E142" s="8"/>
      <c r="F142" s="15">
        <v>175.0</v>
      </c>
      <c r="G142" s="4" t="s">
        <v>51</v>
      </c>
      <c r="H142" s="4" t="s">
        <v>11</v>
      </c>
      <c r="I142" s="4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16">
        <v>46119.0</v>
      </c>
      <c r="B143" s="4">
        <v>25.0</v>
      </c>
      <c r="C143" s="4" t="s">
        <v>62</v>
      </c>
      <c r="D143" s="4">
        <v>0.5</v>
      </c>
      <c r="E143" s="8"/>
      <c r="F143" s="15">
        <v>175.0</v>
      </c>
      <c r="G143" s="4" t="s">
        <v>61</v>
      </c>
      <c r="H143" s="4" t="s">
        <v>11</v>
      </c>
      <c r="I143" s="4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16">
        <v>46119.0</v>
      </c>
      <c r="B144" s="4">
        <v>26.0</v>
      </c>
      <c r="C144" s="4" t="s">
        <v>62</v>
      </c>
      <c r="D144" s="4">
        <v>0.5</v>
      </c>
      <c r="E144" s="8"/>
      <c r="F144" s="15">
        <v>175.0</v>
      </c>
      <c r="G144" s="4" t="s">
        <v>61</v>
      </c>
      <c r="H144" s="4" t="s">
        <v>11</v>
      </c>
      <c r="I144" s="4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16">
        <v>46119.0</v>
      </c>
      <c r="B145" s="4">
        <v>27.0</v>
      </c>
      <c r="C145" s="4" t="s">
        <v>62</v>
      </c>
      <c r="D145" s="4">
        <v>0.5</v>
      </c>
      <c r="E145" s="8"/>
      <c r="F145" s="15">
        <v>175.0</v>
      </c>
      <c r="G145" s="4" t="s">
        <v>61</v>
      </c>
      <c r="H145" s="4" t="s">
        <v>11</v>
      </c>
      <c r="I145" s="4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7">
        <v>46105.0</v>
      </c>
      <c r="B146" s="4">
        <v>3.0</v>
      </c>
      <c r="C146" s="4" t="s">
        <v>45</v>
      </c>
      <c r="D146" s="4">
        <v>0.97</v>
      </c>
      <c r="E146" s="8">
        <f t="shared" ref="E146:E148" si="21">(D146*210)</f>
        <v>203.7</v>
      </c>
      <c r="F146" s="8">
        <f t="shared" ref="F146:F148" si="22">(D146*175)</f>
        <v>169.75</v>
      </c>
      <c r="G146" s="4" t="s">
        <v>16</v>
      </c>
      <c r="H146" s="4" t="s">
        <v>11</v>
      </c>
      <c r="I146" s="4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7">
        <v>46105.0</v>
      </c>
      <c r="B147" s="4">
        <v>4.0</v>
      </c>
      <c r="C147" s="4" t="s">
        <v>45</v>
      </c>
      <c r="D147" s="4">
        <v>0.92</v>
      </c>
      <c r="E147" s="8">
        <f t="shared" si="21"/>
        <v>193.2</v>
      </c>
      <c r="F147" s="8">
        <f t="shared" si="22"/>
        <v>161</v>
      </c>
      <c r="G147" s="4" t="s">
        <v>16</v>
      </c>
      <c r="H147" s="4" t="s">
        <v>11</v>
      </c>
      <c r="I147" s="4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7">
        <v>46105.0</v>
      </c>
      <c r="B148" s="4">
        <v>7.0</v>
      </c>
      <c r="C148" s="4" t="s">
        <v>45</v>
      </c>
      <c r="D148" s="4">
        <v>0.975</v>
      </c>
      <c r="E148" s="8">
        <f t="shared" si="21"/>
        <v>204.75</v>
      </c>
      <c r="F148" s="8">
        <f t="shared" si="22"/>
        <v>170.625</v>
      </c>
      <c r="G148" s="4" t="s">
        <v>16</v>
      </c>
      <c r="H148" s="4" t="s">
        <v>11</v>
      </c>
      <c r="I148" s="4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7">
        <v>46105.0</v>
      </c>
      <c r="B149" s="4">
        <v>1.0</v>
      </c>
      <c r="C149" s="4" t="s">
        <v>46</v>
      </c>
      <c r="D149" s="4">
        <v>0.5</v>
      </c>
      <c r="E149" s="8"/>
      <c r="F149" s="15">
        <v>95.0</v>
      </c>
      <c r="G149" s="4" t="s">
        <v>16</v>
      </c>
      <c r="H149" s="4" t="s">
        <v>11</v>
      </c>
      <c r="I149" s="4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7">
        <v>46105.0</v>
      </c>
      <c r="B150" s="4">
        <v>2.0</v>
      </c>
      <c r="C150" s="4" t="s">
        <v>46</v>
      </c>
      <c r="D150" s="4">
        <v>0.5</v>
      </c>
      <c r="E150" s="8"/>
      <c r="F150" s="15">
        <v>95.0</v>
      </c>
      <c r="G150" s="4" t="s">
        <v>16</v>
      </c>
      <c r="H150" s="4" t="s">
        <v>11</v>
      </c>
      <c r="I150" s="4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7">
        <v>46105.0</v>
      </c>
      <c r="B151" s="4">
        <v>3.0</v>
      </c>
      <c r="C151" s="4" t="s">
        <v>46</v>
      </c>
      <c r="D151" s="4">
        <v>0.5</v>
      </c>
      <c r="E151" s="8"/>
      <c r="F151" s="15">
        <v>95.0</v>
      </c>
      <c r="G151" s="4" t="s">
        <v>17</v>
      </c>
      <c r="H151" s="4" t="s">
        <v>11</v>
      </c>
      <c r="I151" s="4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7">
        <v>46105.0</v>
      </c>
      <c r="B152" s="4">
        <v>4.0</v>
      </c>
      <c r="C152" s="4" t="s">
        <v>46</v>
      </c>
      <c r="D152" s="4">
        <v>0.5</v>
      </c>
      <c r="E152" s="8"/>
      <c r="F152" s="15">
        <v>95.0</v>
      </c>
      <c r="G152" s="4" t="s">
        <v>17</v>
      </c>
      <c r="H152" s="4" t="s">
        <v>11</v>
      </c>
      <c r="I152" s="4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7">
        <v>46105.0</v>
      </c>
      <c r="B153" s="4">
        <v>1.0</v>
      </c>
      <c r="C153" s="4" t="s">
        <v>48</v>
      </c>
      <c r="D153" s="4">
        <v>0.5</v>
      </c>
      <c r="E153" s="8"/>
      <c r="F153" s="15">
        <v>95.0</v>
      </c>
      <c r="G153" s="4" t="s">
        <v>16</v>
      </c>
      <c r="H153" s="4" t="s">
        <v>11</v>
      </c>
      <c r="I153" s="4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7">
        <v>46105.0</v>
      </c>
      <c r="B154" s="4">
        <v>2.0</v>
      </c>
      <c r="C154" s="4" t="s">
        <v>48</v>
      </c>
      <c r="D154" s="4">
        <v>0.5</v>
      </c>
      <c r="E154" s="8"/>
      <c r="F154" s="15">
        <v>95.0</v>
      </c>
      <c r="G154" s="4" t="s">
        <v>16</v>
      </c>
      <c r="H154" s="4" t="s">
        <v>11</v>
      </c>
      <c r="I154" s="4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7">
        <v>46105.0</v>
      </c>
      <c r="B155" s="4">
        <v>5.0</v>
      </c>
      <c r="C155" s="4" t="s">
        <v>48</v>
      </c>
      <c r="D155" s="12">
        <v>0.5</v>
      </c>
      <c r="E155" s="8"/>
      <c r="F155" s="15">
        <v>95.0</v>
      </c>
      <c r="G155" s="4" t="s">
        <v>55</v>
      </c>
      <c r="H155" s="4" t="s">
        <v>11</v>
      </c>
      <c r="I155" s="4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7">
        <v>46105.0</v>
      </c>
      <c r="B156" s="4">
        <v>1.0</v>
      </c>
      <c r="C156" s="4" t="s">
        <v>63</v>
      </c>
      <c r="D156" s="4">
        <v>0.5</v>
      </c>
      <c r="E156" s="8"/>
      <c r="F156" s="15">
        <v>95.0</v>
      </c>
      <c r="G156" s="4" t="s">
        <v>16</v>
      </c>
      <c r="H156" s="4" t="s">
        <v>11</v>
      </c>
      <c r="I156" s="4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7">
        <v>46113.0</v>
      </c>
      <c r="B157" s="4">
        <v>2.0</v>
      </c>
      <c r="C157" s="4" t="s">
        <v>45</v>
      </c>
      <c r="D157" s="4">
        <v>0.915</v>
      </c>
      <c r="E157" s="8"/>
      <c r="F157" s="8">
        <f t="shared" ref="F157:F159" si="23">(D157*165)</f>
        <v>150.975</v>
      </c>
      <c r="G157" s="4" t="s">
        <v>17</v>
      </c>
      <c r="H157" s="4" t="s">
        <v>11</v>
      </c>
      <c r="I157" s="4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7">
        <v>46113.0</v>
      </c>
      <c r="B158" s="4">
        <v>3.0</v>
      </c>
      <c r="C158" s="4" t="s">
        <v>45</v>
      </c>
      <c r="D158" s="4">
        <v>0.9</v>
      </c>
      <c r="E158" s="8"/>
      <c r="F158" s="8">
        <f t="shared" si="23"/>
        <v>148.5</v>
      </c>
      <c r="G158" s="4" t="s">
        <v>17</v>
      </c>
      <c r="H158" s="4" t="s">
        <v>11</v>
      </c>
      <c r="I158" s="4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7">
        <v>46113.0</v>
      </c>
      <c r="B159" s="4">
        <v>4.0</v>
      </c>
      <c r="C159" s="4" t="s">
        <v>45</v>
      </c>
      <c r="D159" s="4">
        <v>0.975</v>
      </c>
      <c r="E159" s="8"/>
      <c r="F159" s="8">
        <f t="shared" si="23"/>
        <v>160.875</v>
      </c>
      <c r="G159" s="4" t="s">
        <v>17</v>
      </c>
      <c r="H159" s="4" t="s">
        <v>11</v>
      </c>
      <c r="I159" s="4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7">
        <v>46113.0</v>
      </c>
      <c r="B160" s="4">
        <v>1.0</v>
      </c>
      <c r="C160" s="4" t="s">
        <v>64</v>
      </c>
      <c r="D160" s="4">
        <v>0.5</v>
      </c>
      <c r="E160" s="8"/>
      <c r="F160" s="15">
        <v>95.0</v>
      </c>
      <c r="G160" s="4" t="s">
        <v>17</v>
      </c>
      <c r="H160" s="4" t="s">
        <v>11</v>
      </c>
      <c r="I160" s="4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7">
        <v>46113.0</v>
      </c>
      <c r="B161" s="4">
        <v>2.0</v>
      </c>
      <c r="C161" s="4" t="s">
        <v>64</v>
      </c>
      <c r="D161" s="4">
        <v>0.5</v>
      </c>
      <c r="E161" s="8"/>
      <c r="F161" s="15">
        <v>95.0</v>
      </c>
      <c r="G161" s="4" t="s">
        <v>17</v>
      </c>
      <c r="H161" s="4" t="s">
        <v>11</v>
      </c>
      <c r="I161" s="4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7">
        <v>46113.0</v>
      </c>
      <c r="B162" s="4">
        <v>3.0</v>
      </c>
      <c r="C162" s="4" t="s">
        <v>64</v>
      </c>
      <c r="D162" s="4">
        <v>0.5</v>
      </c>
      <c r="E162" s="8"/>
      <c r="F162" s="15">
        <v>95.0</v>
      </c>
      <c r="G162" s="4" t="s">
        <v>17</v>
      </c>
      <c r="H162" s="4" t="s">
        <v>11</v>
      </c>
      <c r="I162" s="4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7">
        <v>46113.0</v>
      </c>
      <c r="B163" s="4">
        <v>4.0</v>
      </c>
      <c r="C163" s="4" t="s">
        <v>64</v>
      </c>
      <c r="D163" s="4">
        <v>0.5</v>
      </c>
      <c r="E163" s="8"/>
      <c r="F163" s="15">
        <v>95.0</v>
      </c>
      <c r="G163" s="4" t="s">
        <v>17</v>
      </c>
      <c r="H163" s="4" t="s">
        <v>11</v>
      </c>
      <c r="I163" s="4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7">
        <v>46113.0</v>
      </c>
      <c r="B164" s="4">
        <v>10.0</v>
      </c>
      <c r="C164" s="4" t="s">
        <v>64</v>
      </c>
      <c r="D164" s="4">
        <v>0.5</v>
      </c>
      <c r="E164" s="8"/>
      <c r="F164" s="15">
        <v>95.0</v>
      </c>
      <c r="G164" s="4" t="s">
        <v>51</v>
      </c>
      <c r="H164" s="4" t="s">
        <v>11</v>
      </c>
      <c r="I164" s="4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7">
        <v>46127.0</v>
      </c>
      <c r="B165" s="4">
        <v>1.0</v>
      </c>
      <c r="C165" s="4" t="s">
        <v>48</v>
      </c>
      <c r="D165" s="4">
        <v>0.5</v>
      </c>
      <c r="E165" s="8"/>
      <c r="F165" s="15">
        <v>86.0</v>
      </c>
      <c r="G165" s="4" t="s">
        <v>56</v>
      </c>
      <c r="H165" s="4" t="s">
        <v>11</v>
      </c>
      <c r="I165" s="4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7">
        <v>46127.0</v>
      </c>
      <c r="B166" s="4">
        <v>2.0</v>
      </c>
      <c r="C166" s="4" t="s">
        <v>48</v>
      </c>
      <c r="D166" s="4">
        <v>0.5</v>
      </c>
      <c r="E166" s="8"/>
      <c r="F166" s="15">
        <v>86.0</v>
      </c>
      <c r="G166" s="4" t="s">
        <v>56</v>
      </c>
      <c r="H166" s="4" t="s">
        <v>11</v>
      </c>
      <c r="I166" s="4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7">
        <v>46127.0</v>
      </c>
      <c r="B167" s="4">
        <v>2.0</v>
      </c>
      <c r="C167" s="4" t="s">
        <v>65</v>
      </c>
      <c r="D167" s="4" t="s">
        <v>66</v>
      </c>
      <c r="E167" s="8">
        <v>230.0</v>
      </c>
      <c r="F167" s="8">
        <v>195.0</v>
      </c>
      <c r="G167" s="4" t="s">
        <v>61</v>
      </c>
      <c r="H167" s="4" t="s">
        <v>11</v>
      </c>
      <c r="I167" s="4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7">
        <v>46127.0</v>
      </c>
      <c r="B168" s="4">
        <v>3.0</v>
      </c>
      <c r="C168" s="4" t="s">
        <v>65</v>
      </c>
      <c r="D168" s="4" t="s">
        <v>66</v>
      </c>
      <c r="E168" s="8">
        <v>230.0</v>
      </c>
      <c r="F168" s="8">
        <v>195.0</v>
      </c>
      <c r="G168" s="4" t="s">
        <v>61</v>
      </c>
      <c r="H168" s="4" t="s">
        <v>11</v>
      </c>
      <c r="I168" s="4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7">
        <v>46127.0</v>
      </c>
      <c r="B169" s="4">
        <v>4.0</v>
      </c>
      <c r="C169" s="4" t="s">
        <v>65</v>
      </c>
      <c r="D169" s="4" t="s">
        <v>66</v>
      </c>
      <c r="E169" s="8">
        <v>230.0</v>
      </c>
      <c r="F169" s="8">
        <v>195.0</v>
      </c>
      <c r="G169" s="4" t="s">
        <v>61</v>
      </c>
      <c r="H169" s="4" t="s">
        <v>11</v>
      </c>
      <c r="I169" s="4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7">
        <v>46127.0</v>
      </c>
      <c r="B170" s="4">
        <v>5.0</v>
      </c>
      <c r="C170" s="4" t="s">
        <v>65</v>
      </c>
      <c r="D170" s="4" t="s">
        <v>66</v>
      </c>
      <c r="E170" s="8">
        <v>230.0</v>
      </c>
      <c r="F170" s="8">
        <v>195.0</v>
      </c>
      <c r="G170" s="4" t="s">
        <v>61</v>
      </c>
      <c r="H170" s="4" t="s">
        <v>11</v>
      </c>
      <c r="I170" s="4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7">
        <v>46127.0</v>
      </c>
      <c r="B171" s="4">
        <v>6.0</v>
      </c>
      <c r="C171" s="4" t="s">
        <v>65</v>
      </c>
      <c r="D171" s="4" t="s">
        <v>66</v>
      </c>
      <c r="E171" s="8">
        <v>230.0</v>
      </c>
      <c r="F171" s="8">
        <v>195.0</v>
      </c>
      <c r="G171" s="4" t="s">
        <v>61</v>
      </c>
      <c r="H171" s="4" t="s">
        <v>11</v>
      </c>
      <c r="I171" s="4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7">
        <v>46127.0</v>
      </c>
      <c r="B172" s="4">
        <v>7.0</v>
      </c>
      <c r="C172" s="4" t="s">
        <v>65</v>
      </c>
      <c r="D172" s="4" t="s">
        <v>66</v>
      </c>
      <c r="E172" s="8">
        <v>230.0</v>
      </c>
      <c r="F172" s="8">
        <v>195.0</v>
      </c>
      <c r="G172" s="4" t="s">
        <v>61</v>
      </c>
      <c r="H172" s="4" t="s">
        <v>11</v>
      </c>
      <c r="I172" s="4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7">
        <v>46127.0</v>
      </c>
      <c r="B173" s="4">
        <v>8.0</v>
      </c>
      <c r="C173" s="4" t="s">
        <v>65</v>
      </c>
      <c r="D173" s="4" t="s">
        <v>66</v>
      </c>
      <c r="E173" s="8">
        <v>230.0</v>
      </c>
      <c r="F173" s="8">
        <v>195.0</v>
      </c>
      <c r="G173" s="4" t="s">
        <v>67</v>
      </c>
      <c r="H173" s="4" t="s">
        <v>11</v>
      </c>
      <c r="I173" s="4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7">
        <v>46127.0</v>
      </c>
      <c r="B174" s="4">
        <v>9.0</v>
      </c>
      <c r="C174" s="4" t="s">
        <v>65</v>
      </c>
      <c r="D174" s="4" t="s">
        <v>66</v>
      </c>
      <c r="E174" s="8">
        <v>230.0</v>
      </c>
      <c r="F174" s="8">
        <v>195.0</v>
      </c>
      <c r="G174" s="4" t="s">
        <v>67</v>
      </c>
      <c r="H174" s="4" t="s">
        <v>11</v>
      </c>
      <c r="I174" s="4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7">
        <v>46127.0</v>
      </c>
      <c r="B175" s="4">
        <v>10.0</v>
      </c>
      <c r="C175" s="4" t="s">
        <v>65</v>
      </c>
      <c r="D175" s="4" t="s">
        <v>66</v>
      </c>
      <c r="E175" s="8">
        <v>230.0</v>
      </c>
      <c r="F175" s="8">
        <v>195.0</v>
      </c>
      <c r="G175" s="4" t="s">
        <v>67</v>
      </c>
      <c r="H175" s="4" t="s">
        <v>11</v>
      </c>
      <c r="I175" s="4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7">
        <v>46127.0</v>
      </c>
      <c r="B176" s="4">
        <v>11.0</v>
      </c>
      <c r="C176" s="4" t="s">
        <v>65</v>
      </c>
      <c r="D176" s="4" t="s">
        <v>66</v>
      </c>
      <c r="E176" s="8">
        <v>230.0</v>
      </c>
      <c r="F176" s="8">
        <v>195.0</v>
      </c>
      <c r="G176" s="4" t="s">
        <v>67</v>
      </c>
      <c r="H176" s="4" t="s">
        <v>11</v>
      </c>
      <c r="I176" s="4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7">
        <v>46127.0</v>
      </c>
      <c r="B177" s="4">
        <v>12.0</v>
      </c>
      <c r="C177" s="4" t="s">
        <v>65</v>
      </c>
      <c r="D177" s="4" t="s">
        <v>66</v>
      </c>
      <c r="E177" s="8">
        <v>230.0</v>
      </c>
      <c r="F177" s="8">
        <v>195.0</v>
      </c>
      <c r="G177" s="4" t="s">
        <v>67</v>
      </c>
      <c r="H177" s="4" t="s">
        <v>11</v>
      </c>
      <c r="I177" s="4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7">
        <v>46127.0</v>
      </c>
      <c r="B178" s="4">
        <v>13.0</v>
      </c>
      <c r="C178" s="4" t="s">
        <v>65</v>
      </c>
      <c r="D178" s="4" t="s">
        <v>66</v>
      </c>
      <c r="E178" s="8">
        <v>230.0</v>
      </c>
      <c r="F178" s="8">
        <v>195.0</v>
      </c>
      <c r="G178" s="4" t="s">
        <v>56</v>
      </c>
      <c r="H178" s="4" t="s">
        <v>11</v>
      </c>
      <c r="I178" s="4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7">
        <v>46127.0</v>
      </c>
      <c r="B179" s="4">
        <v>14.0</v>
      </c>
      <c r="C179" s="4" t="s">
        <v>65</v>
      </c>
      <c r="D179" s="4" t="s">
        <v>66</v>
      </c>
      <c r="E179" s="8">
        <v>230.0</v>
      </c>
      <c r="F179" s="8">
        <v>195.0</v>
      </c>
      <c r="G179" s="4" t="s">
        <v>56</v>
      </c>
      <c r="H179" s="4" t="s">
        <v>11</v>
      </c>
      <c r="I179" s="4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7">
        <v>46127.0</v>
      </c>
      <c r="B180" s="4">
        <v>15.0</v>
      </c>
      <c r="C180" s="4" t="s">
        <v>65</v>
      </c>
      <c r="D180" s="4" t="s">
        <v>66</v>
      </c>
      <c r="E180" s="8">
        <v>230.0</v>
      </c>
      <c r="F180" s="8">
        <v>195.0</v>
      </c>
      <c r="G180" s="4" t="s">
        <v>56</v>
      </c>
      <c r="H180" s="4" t="s">
        <v>11</v>
      </c>
      <c r="I180" s="4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</sheetData>
  <printOptions/>
  <pageMargins bottom="0.3" footer="0.0" header="0.0" left="0.7" right="0.7" top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21.63"/>
    <col customWidth="1" min="3" max="3" width="11.13"/>
    <col customWidth="1" min="4" max="4" width="12.63"/>
    <col customWidth="1" min="5" max="5" width="14.38"/>
    <col customWidth="1" min="6" max="6" width="18.38"/>
    <col customWidth="1" min="7" max="10" width="9.38"/>
    <col customWidth="1" min="11" max="22" width="8.63"/>
  </cols>
  <sheetData>
    <row r="1">
      <c r="A1" s="23" t="s">
        <v>68</v>
      </c>
      <c r="B1" s="23" t="s">
        <v>2</v>
      </c>
      <c r="C1" s="23" t="s">
        <v>3</v>
      </c>
      <c r="D1" s="23" t="s">
        <v>4</v>
      </c>
      <c r="E1" s="23" t="s">
        <v>5</v>
      </c>
      <c r="F1" s="24" t="s">
        <v>6</v>
      </c>
      <c r="G1" s="25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26">
        <v>5.0</v>
      </c>
      <c r="B2" s="26" t="s">
        <v>15</v>
      </c>
      <c r="C2" s="27">
        <v>2.42</v>
      </c>
      <c r="D2" s="28"/>
      <c r="E2" s="26" t="s">
        <v>69</v>
      </c>
      <c r="F2" s="26" t="s">
        <v>17</v>
      </c>
      <c r="G2" s="2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ht="15.75" customHeight="1">
      <c r="A3" s="26">
        <v>9.0</v>
      </c>
      <c r="B3" s="26" t="s">
        <v>15</v>
      </c>
      <c r="C3" s="29">
        <v>2.435</v>
      </c>
      <c r="D3" s="26" t="s">
        <v>70</v>
      </c>
      <c r="E3" s="26" t="s">
        <v>71</v>
      </c>
      <c r="F3" s="26" t="s">
        <v>55</v>
      </c>
      <c r="G3" s="25"/>
      <c r="H3" s="4"/>
      <c r="I3" s="4"/>
      <c r="J3" s="4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>
      <c r="A4" s="26">
        <v>10.0</v>
      </c>
      <c r="B4" s="26" t="s">
        <v>15</v>
      </c>
      <c r="C4" s="30">
        <v>2.04</v>
      </c>
      <c r="D4" s="31" t="s">
        <v>72</v>
      </c>
      <c r="E4" s="31" t="s">
        <v>73</v>
      </c>
      <c r="F4" s="26" t="s">
        <v>55</v>
      </c>
      <c r="G4" s="3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ht="15.75" customHeight="1">
      <c r="A5" s="26">
        <v>11.0</v>
      </c>
      <c r="B5" s="26" t="s">
        <v>15</v>
      </c>
      <c r="C5" s="29">
        <v>1.445</v>
      </c>
      <c r="D5" s="31" t="s">
        <v>74</v>
      </c>
      <c r="E5" s="31" t="s">
        <v>75</v>
      </c>
      <c r="F5" s="26" t="s">
        <v>55</v>
      </c>
      <c r="G5" s="2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ht="15.75" customHeight="1">
      <c r="A6" s="26">
        <v>5.0</v>
      </c>
      <c r="B6" s="26" t="s">
        <v>15</v>
      </c>
      <c r="C6" s="33">
        <v>2.29</v>
      </c>
      <c r="D6" s="31" t="s">
        <v>76</v>
      </c>
      <c r="E6" s="34"/>
      <c r="F6" s="26" t="s">
        <v>55</v>
      </c>
      <c r="G6" s="35"/>
      <c r="H6" s="4"/>
      <c r="I6" s="4"/>
      <c r="J6" s="4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ht="15.75" customHeight="1">
      <c r="A7" s="26">
        <v>6.0</v>
      </c>
      <c r="B7" s="26" t="s">
        <v>15</v>
      </c>
      <c r="C7" s="36">
        <v>2.095</v>
      </c>
      <c r="D7" s="31" t="s">
        <v>77</v>
      </c>
      <c r="E7" s="34"/>
      <c r="F7" s="26" t="s">
        <v>55</v>
      </c>
      <c r="G7" s="25"/>
      <c r="H7" s="4"/>
      <c r="I7" s="4"/>
      <c r="J7" s="4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ht="15.75" customHeight="1">
      <c r="A8" s="26">
        <v>7.0</v>
      </c>
      <c r="B8" s="26" t="s">
        <v>15</v>
      </c>
      <c r="C8" s="37" t="s">
        <v>78</v>
      </c>
      <c r="D8" s="31" t="s">
        <v>79</v>
      </c>
      <c r="E8" s="34"/>
      <c r="F8" s="26" t="s">
        <v>55</v>
      </c>
      <c r="G8" s="25"/>
      <c r="H8" s="4"/>
      <c r="I8" s="4"/>
      <c r="J8" s="4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15.75" customHeight="1">
      <c r="A9" s="26">
        <v>1.0</v>
      </c>
      <c r="B9" s="26" t="s">
        <v>15</v>
      </c>
      <c r="C9" s="38">
        <v>2385.0</v>
      </c>
      <c r="D9" s="35"/>
      <c r="E9" s="31" t="s">
        <v>80</v>
      </c>
      <c r="F9" s="26" t="s">
        <v>17</v>
      </c>
      <c r="G9" s="25"/>
      <c r="H9" s="4"/>
      <c r="I9" s="4"/>
      <c r="J9" s="4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ht="15.75" customHeight="1">
      <c r="A10" s="26">
        <v>2.0</v>
      </c>
      <c r="B10" s="26" t="s">
        <v>15</v>
      </c>
      <c r="C10" s="39" t="s">
        <v>81</v>
      </c>
      <c r="D10" s="35"/>
      <c r="E10" s="31" t="s">
        <v>82</v>
      </c>
      <c r="F10" s="26" t="s">
        <v>17</v>
      </c>
      <c r="G10" s="25"/>
      <c r="H10" s="4"/>
      <c r="I10" s="4"/>
      <c r="J10" s="4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ht="15.75" customHeight="1">
      <c r="A11" s="26">
        <v>3.0</v>
      </c>
      <c r="B11" s="26" t="s">
        <v>15</v>
      </c>
      <c r="C11" s="39" t="s">
        <v>83</v>
      </c>
      <c r="D11" s="35"/>
      <c r="E11" s="31" t="s">
        <v>84</v>
      </c>
      <c r="F11" s="26" t="s">
        <v>17</v>
      </c>
      <c r="G11" s="25"/>
      <c r="H11" s="4"/>
      <c r="I11" s="4"/>
      <c r="J11" s="4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ht="15.75" customHeight="1">
      <c r="A12" s="26">
        <v>4.0</v>
      </c>
      <c r="B12" s="26" t="s">
        <v>15</v>
      </c>
      <c r="C12" s="38">
        <v>2515.0</v>
      </c>
      <c r="D12" s="35"/>
      <c r="E12" s="31" t="s">
        <v>85</v>
      </c>
      <c r="F12" s="26" t="s">
        <v>17</v>
      </c>
      <c r="G12" s="25"/>
      <c r="H12" s="4"/>
      <c r="I12" s="4"/>
      <c r="J12" s="4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ht="15.75" customHeight="1">
      <c r="A13" s="26">
        <v>5.0</v>
      </c>
      <c r="B13" s="26" t="s">
        <v>15</v>
      </c>
      <c r="C13" s="39" t="s">
        <v>86</v>
      </c>
      <c r="D13" s="35"/>
      <c r="E13" s="31" t="s">
        <v>87</v>
      </c>
      <c r="F13" s="26" t="s">
        <v>17</v>
      </c>
      <c r="G13" s="25"/>
      <c r="H13" s="4"/>
      <c r="I13" s="4"/>
      <c r="J13" s="4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ht="15.75" customHeight="1">
      <c r="A14" s="26">
        <v>6.0</v>
      </c>
      <c r="B14" s="26" t="s">
        <v>15</v>
      </c>
      <c r="C14" s="38">
        <v>2195.0</v>
      </c>
      <c r="D14" s="35"/>
      <c r="E14" s="31" t="s">
        <v>88</v>
      </c>
      <c r="F14" s="26" t="s">
        <v>17</v>
      </c>
      <c r="G14" s="25"/>
      <c r="H14" s="4"/>
      <c r="I14" s="4"/>
      <c r="J14" s="4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ht="15.75" customHeight="1">
      <c r="A15" s="26">
        <v>7.0</v>
      </c>
      <c r="B15" s="26" t="s">
        <v>15</v>
      </c>
      <c r="C15" s="39" t="s">
        <v>86</v>
      </c>
      <c r="D15" s="35"/>
      <c r="E15" s="31" t="s">
        <v>87</v>
      </c>
      <c r="F15" s="26" t="s">
        <v>17</v>
      </c>
      <c r="G15" s="25"/>
      <c r="H15" s="4"/>
      <c r="I15" s="4"/>
      <c r="J15" s="4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ht="15.75" customHeight="1">
      <c r="A16" s="26">
        <v>8.0</v>
      </c>
      <c r="B16" s="26" t="s">
        <v>15</v>
      </c>
      <c r="C16" s="40">
        <v>2635.0</v>
      </c>
      <c r="D16" s="31" t="s">
        <v>89</v>
      </c>
      <c r="E16" s="34"/>
      <c r="F16" s="26" t="s">
        <v>55</v>
      </c>
      <c r="G16" s="25"/>
      <c r="H16" s="4"/>
      <c r="I16" s="4"/>
      <c r="J16" s="4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ht="15.75" customHeight="1">
      <c r="A17" s="26">
        <v>9.0</v>
      </c>
      <c r="B17" s="26" t="s">
        <v>15</v>
      </c>
      <c r="C17" s="40">
        <v>2603.0</v>
      </c>
      <c r="D17" s="31" t="s">
        <v>90</v>
      </c>
      <c r="E17" s="34"/>
      <c r="F17" s="26" t="s">
        <v>55</v>
      </c>
      <c r="G17" s="25"/>
      <c r="H17" s="4"/>
      <c r="I17" s="4"/>
      <c r="J17" s="4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ht="15.75" customHeight="1">
      <c r="A18" s="26">
        <v>10.0</v>
      </c>
      <c r="B18" s="26" t="s">
        <v>15</v>
      </c>
      <c r="C18" s="37" t="s">
        <v>91</v>
      </c>
      <c r="D18" s="31" t="s">
        <v>92</v>
      </c>
      <c r="E18" s="34"/>
      <c r="F18" s="26" t="s">
        <v>55</v>
      </c>
      <c r="G18" s="25"/>
      <c r="H18" s="4"/>
      <c r="I18" s="4"/>
      <c r="J18" s="4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ht="15.75" customHeight="1">
      <c r="A19" s="26">
        <v>1.0</v>
      </c>
      <c r="B19" s="26" t="s">
        <v>15</v>
      </c>
      <c r="C19" s="41" t="s">
        <v>93</v>
      </c>
      <c r="D19" s="25"/>
      <c r="E19" s="26" t="s">
        <v>94</v>
      </c>
      <c r="F19" s="11" t="s">
        <v>26</v>
      </c>
      <c r="G19" s="25"/>
      <c r="H19" s="4"/>
      <c r="I19" s="4"/>
      <c r="J19" s="4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ht="15.75" customHeight="1">
      <c r="A20" s="26">
        <v>2.0</v>
      </c>
      <c r="B20" s="26" t="s">
        <v>15</v>
      </c>
      <c r="C20" s="41" t="s">
        <v>95</v>
      </c>
      <c r="D20" s="35"/>
      <c r="E20" s="31" t="s">
        <v>96</v>
      </c>
      <c r="F20" s="11" t="s">
        <v>26</v>
      </c>
      <c r="G20" s="25"/>
      <c r="H20" s="4"/>
      <c r="I20" s="4"/>
      <c r="J20" s="4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ht="15.75" customHeight="1">
      <c r="A21" s="26">
        <v>3.0</v>
      </c>
      <c r="B21" s="26" t="s">
        <v>15</v>
      </c>
      <c r="C21" s="42">
        <v>2185.0</v>
      </c>
      <c r="D21" s="35"/>
      <c r="E21" s="31" t="s">
        <v>97</v>
      </c>
      <c r="F21" s="11" t="s">
        <v>26</v>
      </c>
      <c r="G21" s="25"/>
      <c r="H21" s="4"/>
      <c r="I21" s="4"/>
      <c r="J21" s="4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ht="15.75" customHeight="1">
      <c r="A22" s="26">
        <v>4.0</v>
      </c>
      <c r="B22" s="26" t="s">
        <v>15</v>
      </c>
      <c r="C22" s="41" t="s">
        <v>98</v>
      </c>
      <c r="D22" s="35"/>
      <c r="E22" s="31" t="s">
        <v>99</v>
      </c>
      <c r="F22" s="11" t="s">
        <v>26</v>
      </c>
      <c r="G22" s="25"/>
      <c r="H22" s="4"/>
      <c r="I22" s="4"/>
      <c r="J22" s="4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ht="15.75" customHeight="1">
      <c r="A23" s="26">
        <v>5.0</v>
      </c>
      <c r="B23" s="26" t="s">
        <v>15</v>
      </c>
      <c r="C23" s="41" t="s">
        <v>100</v>
      </c>
      <c r="D23" s="35"/>
      <c r="E23" s="31" t="s">
        <v>101</v>
      </c>
      <c r="F23" s="11" t="s">
        <v>26</v>
      </c>
      <c r="G23" s="25"/>
      <c r="H23" s="4"/>
      <c r="I23" s="4"/>
      <c r="J23" s="4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ht="15.75" customHeight="1">
      <c r="A24" s="26">
        <v>6.0</v>
      </c>
      <c r="B24" s="26" t="s">
        <v>15</v>
      </c>
      <c r="C24" s="42">
        <v>2285.0</v>
      </c>
      <c r="D24" s="35"/>
      <c r="E24" s="31" t="s">
        <v>102</v>
      </c>
      <c r="F24" s="11" t="s">
        <v>26</v>
      </c>
      <c r="G24" s="25"/>
      <c r="H24" s="4"/>
      <c r="I24" s="4"/>
      <c r="J24" s="4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ht="15.75" customHeight="1">
      <c r="A25" s="26">
        <v>7.0</v>
      </c>
      <c r="B25" s="26" t="s">
        <v>15</v>
      </c>
      <c r="C25" s="41" t="s">
        <v>103</v>
      </c>
      <c r="D25" s="35"/>
      <c r="E25" s="31" t="s">
        <v>104</v>
      </c>
      <c r="F25" s="11" t="s">
        <v>26</v>
      </c>
      <c r="G25" s="25"/>
      <c r="H25" s="4"/>
      <c r="I25" s="4"/>
      <c r="J25" s="4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ht="15.75" customHeight="1">
      <c r="A26" s="26">
        <v>8.0</v>
      </c>
      <c r="B26" s="26" t="s">
        <v>15</v>
      </c>
      <c r="C26" s="41" t="s">
        <v>78</v>
      </c>
      <c r="D26" s="35"/>
      <c r="E26" s="31" t="s">
        <v>105</v>
      </c>
      <c r="F26" s="11" t="s">
        <v>26</v>
      </c>
      <c r="G26" s="25"/>
      <c r="H26" s="4"/>
      <c r="I26" s="4"/>
      <c r="J26" s="4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ht="15.75" customHeight="1">
      <c r="A27" s="26">
        <v>9.0</v>
      </c>
      <c r="B27" s="26" t="s">
        <v>15</v>
      </c>
      <c r="C27" s="42">
        <v>2425.0</v>
      </c>
      <c r="D27" s="35"/>
      <c r="E27" s="31" t="s">
        <v>106</v>
      </c>
      <c r="F27" s="11" t="s">
        <v>26</v>
      </c>
      <c r="G27" s="25"/>
      <c r="H27" s="4"/>
      <c r="I27" s="4"/>
      <c r="J27" s="4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ht="15.75" customHeight="1">
      <c r="A28" s="26">
        <v>10.0</v>
      </c>
      <c r="B28" s="26" t="s">
        <v>15</v>
      </c>
      <c r="C28" s="42">
        <v>2595.0</v>
      </c>
      <c r="D28" s="35"/>
      <c r="E28" s="31" t="s">
        <v>107</v>
      </c>
      <c r="F28" s="11" t="s">
        <v>26</v>
      </c>
      <c r="G28" s="25"/>
      <c r="H28" s="4"/>
      <c r="I28" s="4"/>
      <c r="J28" s="4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ht="15.75" customHeight="1">
      <c r="A29" s="26">
        <v>11.0</v>
      </c>
      <c r="B29" s="26" t="s">
        <v>15</v>
      </c>
      <c r="C29" s="42">
        <v>2375.0</v>
      </c>
      <c r="D29" s="35"/>
      <c r="E29" s="31" t="s">
        <v>108</v>
      </c>
      <c r="F29" s="11" t="s">
        <v>26</v>
      </c>
      <c r="G29" s="25"/>
      <c r="H29" s="4"/>
      <c r="I29" s="4"/>
      <c r="J29" s="4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ht="15.75" customHeight="1">
      <c r="A30" s="26">
        <v>12.0</v>
      </c>
      <c r="B30" s="26" t="s">
        <v>15</v>
      </c>
      <c r="C30" s="41" t="s">
        <v>109</v>
      </c>
      <c r="D30" s="35"/>
      <c r="E30" s="31" t="s">
        <v>110</v>
      </c>
      <c r="F30" s="11" t="s">
        <v>26</v>
      </c>
      <c r="G30" s="25"/>
      <c r="H30" s="4"/>
      <c r="I30" s="4"/>
      <c r="J30" s="4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ht="15.75" customHeight="1">
      <c r="A31" s="26">
        <v>13.0</v>
      </c>
      <c r="B31" s="26" t="s">
        <v>15</v>
      </c>
      <c r="C31" s="41" t="s">
        <v>86</v>
      </c>
      <c r="D31" s="35"/>
      <c r="E31" s="31" t="s">
        <v>87</v>
      </c>
      <c r="F31" s="11" t="s">
        <v>26</v>
      </c>
      <c r="G31" s="25"/>
      <c r="H31" s="4"/>
      <c r="I31" s="4"/>
      <c r="J31" s="4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ht="15.75" customHeight="1">
      <c r="A32" s="26">
        <v>14.0</v>
      </c>
      <c r="B32" s="26" t="s">
        <v>15</v>
      </c>
      <c r="C32" s="41" t="s">
        <v>111</v>
      </c>
      <c r="D32" s="35"/>
      <c r="E32" s="31" t="s">
        <v>112</v>
      </c>
      <c r="F32" s="11" t="s">
        <v>26</v>
      </c>
      <c r="G32" s="25"/>
      <c r="H32" s="4"/>
      <c r="I32" s="4"/>
      <c r="J32" s="4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ht="15.75" customHeight="1">
      <c r="A33" s="26">
        <v>15.0</v>
      </c>
      <c r="B33" s="26" t="s">
        <v>15</v>
      </c>
      <c r="C33" s="41" t="s">
        <v>113</v>
      </c>
      <c r="D33" s="35"/>
      <c r="E33" s="31" t="s">
        <v>114</v>
      </c>
      <c r="F33" s="11" t="s">
        <v>26</v>
      </c>
      <c r="G33" s="25"/>
      <c r="H33" s="4"/>
      <c r="I33" s="4"/>
      <c r="J33" s="4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ht="15.75" customHeight="1">
      <c r="A34" s="26">
        <v>8.0</v>
      </c>
      <c r="B34" s="26" t="s">
        <v>31</v>
      </c>
      <c r="C34" s="39" t="s">
        <v>115</v>
      </c>
      <c r="D34" s="31" t="s">
        <v>116</v>
      </c>
      <c r="E34" s="31" t="s">
        <v>117</v>
      </c>
      <c r="F34" s="39" t="s">
        <v>17</v>
      </c>
      <c r="G34" s="25"/>
      <c r="H34" s="4"/>
      <c r="I34" s="4"/>
      <c r="J34" s="4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ht="15.75" customHeight="1">
      <c r="A35" s="26">
        <v>1.0</v>
      </c>
      <c r="B35" s="26" t="s">
        <v>31</v>
      </c>
      <c r="C35" s="43">
        <v>0.815</v>
      </c>
      <c r="D35" s="34"/>
      <c r="E35" s="31">
        <f>(C35*175)</f>
        <v>142.625</v>
      </c>
      <c r="F35" s="26" t="s">
        <v>17</v>
      </c>
      <c r="G35" s="25"/>
      <c r="H35" s="4"/>
      <c r="I35" s="4"/>
      <c r="J35" s="4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ht="15.75" customHeight="1">
      <c r="A36" s="26">
        <v>1.0</v>
      </c>
      <c r="B36" s="26" t="s">
        <v>31</v>
      </c>
      <c r="C36" s="38">
        <v>1045.0</v>
      </c>
      <c r="D36" s="34"/>
      <c r="E36" s="31" t="s">
        <v>118</v>
      </c>
      <c r="F36" s="26" t="s">
        <v>17</v>
      </c>
      <c r="G36" s="25"/>
      <c r="H36" s="4"/>
      <c r="I36" s="4"/>
      <c r="J36" s="4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ht="15.75" customHeight="1">
      <c r="A37" s="26">
        <v>2.0</v>
      </c>
      <c r="B37" s="26" t="s">
        <v>31</v>
      </c>
      <c r="C37" s="39" t="s">
        <v>119</v>
      </c>
      <c r="D37" s="34"/>
      <c r="E37" s="31" t="s">
        <v>120</v>
      </c>
      <c r="F37" s="26" t="s">
        <v>17</v>
      </c>
      <c r="G37" s="25"/>
      <c r="H37" s="4"/>
      <c r="I37" s="4"/>
      <c r="J37" s="4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ht="15.75" customHeight="1">
      <c r="A38" s="26">
        <v>3.0</v>
      </c>
      <c r="B38" s="26" t="s">
        <v>31</v>
      </c>
      <c r="C38" s="38">
        <v>1365.0</v>
      </c>
      <c r="D38" s="34"/>
      <c r="E38" s="31" t="s">
        <v>121</v>
      </c>
      <c r="F38" s="26" t="s">
        <v>17</v>
      </c>
      <c r="G38" s="25"/>
      <c r="H38" s="4"/>
      <c r="I38" s="4"/>
      <c r="J38" s="4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ht="15.75" customHeight="1">
      <c r="A39" s="26">
        <v>4.0</v>
      </c>
      <c r="B39" s="26" t="s">
        <v>31</v>
      </c>
      <c r="C39" s="38">
        <v>1145.0</v>
      </c>
      <c r="D39" s="32"/>
      <c r="E39" s="26" t="s">
        <v>122</v>
      </c>
      <c r="F39" s="26" t="s">
        <v>17</v>
      </c>
      <c r="G39" s="25"/>
      <c r="H39" s="4"/>
      <c r="I39" s="4"/>
      <c r="J39" s="4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ht="15.75" customHeight="1">
      <c r="A40" s="26">
        <v>5.0</v>
      </c>
      <c r="B40" s="26" t="s">
        <v>31</v>
      </c>
      <c r="C40" s="38">
        <v>1485.0</v>
      </c>
      <c r="D40" s="34"/>
      <c r="E40" s="31" t="s">
        <v>123</v>
      </c>
      <c r="F40" s="26" t="s">
        <v>17</v>
      </c>
      <c r="G40" s="25"/>
      <c r="H40" s="4"/>
      <c r="I40" s="4"/>
      <c r="J40" s="4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ht="15.75" customHeight="1">
      <c r="A41" s="26">
        <v>6.0</v>
      </c>
      <c r="B41" s="26" t="s">
        <v>31</v>
      </c>
      <c r="C41" s="40">
        <v>1285.0</v>
      </c>
      <c r="D41" s="31" t="s">
        <v>124</v>
      </c>
      <c r="E41" s="34"/>
      <c r="F41" s="26" t="s">
        <v>55</v>
      </c>
      <c r="G41" s="25"/>
      <c r="H41" s="4"/>
      <c r="I41" s="4"/>
      <c r="J41" s="4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ht="15.75" customHeight="1">
      <c r="A42" s="26">
        <v>7.0</v>
      </c>
      <c r="B42" s="26" t="s">
        <v>31</v>
      </c>
      <c r="C42" s="37" t="s">
        <v>125</v>
      </c>
      <c r="D42" s="31" t="s">
        <v>126</v>
      </c>
      <c r="E42" s="34"/>
      <c r="F42" s="26" t="s">
        <v>55</v>
      </c>
      <c r="G42" s="25"/>
      <c r="H42" s="4"/>
      <c r="I42" s="4"/>
      <c r="J42" s="4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ht="15.75" customHeight="1">
      <c r="A43" s="26">
        <v>8.0</v>
      </c>
      <c r="B43" s="26" t="s">
        <v>31</v>
      </c>
      <c r="C43" s="37" t="s">
        <v>127</v>
      </c>
      <c r="D43" s="31" t="s">
        <v>128</v>
      </c>
      <c r="E43" s="34"/>
      <c r="F43" s="26" t="s">
        <v>55</v>
      </c>
      <c r="G43" s="25"/>
      <c r="H43" s="4"/>
      <c r="I43" s="4"/>
      <c r="J43" s="4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ht="15.75" customHeight="1">
      <c r="A44" s="26">
        <v>9.0</v>
      </c>
      <c r="B44" s="26" t="s">
        <v>31</v>
      </c>
      <c r="C44" s="40">
        <v>1225.0</v>
      </c>
      <c r="D44" s="31" t="s">
        <v>129</v>
      </c>
      <c r="E44" s="34"/>
      <c r="F44" s="26" t="s">
        <v>55</v>
      </c>
      <c r="G44" s="25"/>
      <c r="H44" s="4"/>
      <c r="I44" s="4"/>
      <c r="J44" s="4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ht="15.75" customHeight="1">
      <c r="A45" s="26">
        <v>3.0</v>
      </c>
      <c r="B45" s="26" t="s">
        <v>9</v>
      </c>
      <c r="C45" s="40">
        <v>2175.0</v>
      </c>
      <c r="D45" s="31" t="s">
        <v>130</v>
      </c>
      <c r="E45" s="31"/>
      <c r="F45" s="37" t="s">
        <v>55</v>
      </c>
      <c r="G45" s="25"/>
      <c r="H45" s="4"/>
      <c r="I45" s="4"/>
      <c r="J45" s="4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ht="15.75" customHeight="1">
      <c r="A46" s="26">
        <v>5.0</v>
      </c>
      <c r="B46" s="26" t="s">
        <v>9</v>
      </c>
      <c r="C46" s="37" t="s">
        <v>131</v>
      </c>
      <c r="D46" s="31" t="s">
        <v>132</v>
      </c>
      <c r="E46" s="31"/>
      <c r="F46" s="37" t="s">
        <v>55</v>
      </c>
      <c r="G46" s="25"/>
      <c r="H46" s="4"/>
      <c r="I46" s="4"/>
      <c r="J46" s="4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ht="15.75" customHeight="1">
      <c r="A47" s="26">
        <v>1.0</v>
      </c>
      <c r="B47" s="26" t="s">
        <v>9</v>
      </c>
      <c r="C47" s="38">
        <v>2125.0</v>
      </c>
      <c r="D47" s="34"/>
      <c r="E47" s="31" t="s">
        <v>133</v>
      </c>
      <c r="F47" s="26" t="s">
        <v>17</v>
      </c>
      <c r="G47" s="25"/>
      <c r="H47" s="4"/>
      <c r="I47" s="4"/>
      <c r="J47" s="4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ht="15.75" customHeight="1">
      <c r="A48" s="26">
        <v>2.0</v>
      </c>
      <c r="B48" s="26" t="s">
        <v>9</v>
      </c>
      <c r="C48" s="38">
        <v>2115.0</v>
      </c>
      <c r="D48" s="34"/>
      <c r="E48" s="31" t="s">
        <v>134</v>
      </c>
      <c r="F48" s="26" t="s">
        <v>17</v>
      </c>
      <c r="G48" s="25"/>
      <c r="H48" s="4"/>
      <c r="I48" s="4"/>
      <c r="J48" s="4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ht="15.75" customHeight="1">
      <c r="A49" s="26">
        <v>3.0</v>
      </c>
      <c r="B49" s="26" t="s">
        <v>9</v>
      </c>
      <c r="C49" s="39" t="s">
        <v>135</v>
      </c>
      <c r="D49" s="34"/>
      <c r="E49" s="31" t="s">
        <v>136</v>
      </c>
      <c r="F49" s="26" t="s">
        <v>17</v>
      </c>
      <c r="G49" s="25"/>
      <c r="H49" s="4"/>
      <c r="I49" s="4"/>
      <c r="J49" s="4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ht="15.75" customHeight="1">
      <c r="A50" s="26">
        <v>7.0</v>
      </c>
      <c r="B50" s="26" t="s">
        <v>9</v>
      </c>
      <c r="C50" s="37" t="s">
        <v>137</v>
      </c>
      <c r="D50" s="31" t="s">
        <v>138</v>
      </c>
      <c r="E50" s="34"/>
      <c r="F50" s="26" t="s">
        <v>55</v>
      </c>
      <c r="G50" s="25"/>
      <c r="H50" s="4"/>
      <c r="I50" s="4"/>
      <c r="J50" s="4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ht="15.75" customHeight="1">
      <c r="A51" s="26">
        <v>1.0</v>
      </c>
      <c r="B51" s="26" t="s">
        <v>9</v>
      </c>
      <c r="C51" s="39" t="s">
        <v>139</v>
      </c>
      <c r="D51" s="34"/>
      <c r="E51" s="31" t="s">
        <v>140</v>
      </c>
      <c r="F51" s="26" t="s">
        <v>17</v>
      </c>
      <c r="G51" s="25"/>
      <c r="H51" s="4"/>
      <c r="I51" s="4"/>
      <c r="J51" s="4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ht="15.75" customHeight="1">
      <c r="A52" s="26">
        <v>2.0</v>
      </c>
      <c r="B52" s="26" t="s">
        <v>9</v>
      </c>
      <c r="C52" s="39" t="s">
        <v>141</v>
      </c>
      <c r="D52" s="34"/>
      <c r="E52" s="31" t="s">
        <v>142</v>
      </c>
      <c r="F52" s="26" t="s">
        <v>17</v>
      </c>
      <c r="G52" s="25"/>
      <c r="H52" s="4"/>
      <c r="I52" s="4"/>
      <c r="J52" s="4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ht="15.75" customHeight="1">
      <c r="A53" s="26">
        <v>3.0</v>
      </c>
      <c r="B53" s="26" t="s">
        <v>9</v>
      </c>
      <c r="C53" s="39" t="s">
        <v>143</v>
      </c>
      <c r="D53" s="34"/>
      <c r="E53" s="31" t="s">
        <v>144</v>
      </c>
      <c r="F53" s="26" t="s">
        <v>17</v>
      </c>
      <c r="G53" s="25"/>
      <c r="H53" s="4"/>
      <c r="I53" s="4"/>
      <c r="J53" s="4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ht="15.75" customHeight="1">
      <c r="A54" s="26">
        <v>4.0</v>
      </c>
      <c r="B54" s="26" t="s">
        <v>9</v>
      </c>
      <c r="C54" s="38">
        <v>2295.0</v>
      </c>
      <c r="D54" s="34"/>
      <c r="E54" s="31" t="s">
        <v>145</v>
      </c>
      <c r="F54" s="26" t="s">
        <v>17</v>
      </c>
      <c r="G54" s="25"/>
      <c r="H54" s="4"/>
      <c r="I54" s="4"/>
      <c r="J54" s="4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ht="15.75" customHeight="1">
      <c r="A55" s="26">
        <v>5.0</v>
      </c>
      <c r="B55" s="26" t="s">
        <v>9</v>
      </c>
      <c r="C55" s="39" t="s">
        <v>146</v>
      </c>
      <c r="D55" s="34"/>
      <c r="E55" s="31" t="s">
        <v>147</v>
      </c>
      <c r="F55" s="26" t="s">
        <v>17</v>
      </c>
      <c r="G55" s="25"/>
      <c r="H55" s="4"/>
      <c r="I55" s="4"/>
      <c r="J55" s="4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ht="15.75" customHeight="1">
      <c r="A56" s="26">
        <v>6.0</v>
      </c>
      <c r="B56" s="26" t="s">
        <v>9</v>
      </c>
      <c r="C56" s="39" t="s">
        <v>148</v>
      </c>
      <c r="D56" s="34"/>
      <c r="E56" s="31" t="s">
        <v>149</v>
      </c>
      <c r="F56" s="26" t="s">
        <v>17</v>
      </c>
      <c r="G56" s="25"/>
      <c r="H56" s="4"/>
      <c r="I56" s="4"/>
      <c r="J56" s="4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ht="15.75" customHeight="1">
      <c r="A57" s="26">
        <v>7.0</v>
      </c>
      <c r="B57" s="26" t="s">
        <v>9</v>
      </c>
      <c r="C57" s="39" t="s">
        <v>150</v>
      </c>
      <c r="D57" s="34"/>
      <c r="E57" s="31" t="s">
        <v>151</v>
      </c>
      <c r="F57" s="26" t="s">
        <v>17</v>
      </c>
      <c r="G57" s="25"/>
      <c r="H57" s="4"/>
      <c r="I57" s="4"/>
      <c r="J57" s="4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ht="15.75" customHeight="1">
      <c r="A58" s="26">
        <v>8.0</v>
      </c>
      <c r="B58" s="26" t="s">
        <v>9</v>
      </c>
      <c r="C58" s="38">
        <v>2395.0</v>
      </c>
      <c r="D58" s="32"/>
      <c r="E58" s="26" t="s">
        <v>152</v>
      </c>
      <c r="F58" s="26" t="s">
        <v>17</v>
      </c>
      <c r="G58" s="25"/>
      <c r="H58" s="4"/>
      <c r="I58" s="4"/>
      <c r="J58" s="4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ht="15.75" customHeight="1">
      <c r="A59" s="26">
        <v>9.0</v>
      </c>
      <c r="B59" s="26" t="s">
        <v>9</v>
      </c>
      <c r="C59" s="39" t="s">
        <v>153</v>
      </c>
      <c r="D59" s="34"/>
      <c r="E59" s="31" t="s">
        <v>154</v>
      </c>
      <c r="F59" s="26" t="s">
        <v>17</v>
      </c>
      <c r="G59" s="25"/>
      <c r="H59" s="4"/>
      <c r="I59" s="4"/>
      <c r="J59" s="4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ht="15.75" customHeight="1">
      <c r="A60" s="26">
        <v>10.0</v>
      </c>
      <c r="B60" s="26" t="s">
        <v>9</v>
      </c>
      <c r="C60" s="38">
        <v>2445.0</v>
      </c>
      <c r="D60" s="34"/>
      <c r="E60" s="31" t="s">
        <v>155</v>
      </c>
      <c r="F60" s="26" t="s">
        <v>17</v>
      </c>
      <c r="G60" s="25"/>
      <c r="H60" s="4"/>
      <c r="I60" s="4"/>
      <c r="J60" s="4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ht="15.75" customHeight="1">
      <c r="A61" s="26">
        <v>11.0</v>
      </c>
      <c r="B61" s="26" t="s">
        <v>9</v>
      </c>
      <c r="C61" s="37" t="s">
        <v>156</v>
      </c>
      <c r="D61" s="31" t="s">
        <v>157</v>
      </c>
      <c r="E61" s="35"/>
      <c r="F61" s="26" t="s">
        <v>55</v>
      </c>
      <c r="G61" s="25"/>
      <c r="H61" s="4"/>
      <c r="I61" s="4"/>
      <c r="J61" s="4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ht="15.75" customHeight="1">
      <c r="A62" s="26">
        <v>12.0</v>
      </c>
      <c r="B62" s="26" t="s">
        <v>9</v>
      </c>
      <c r="C62" s="37" t="s">
        <v>158</v>
      </c>
      <c r="D62" s="31" t="s">
        <v>159</v>
      </c>
      <c r="E62" s="35"/>
      <c r="F62" s="26" t="s">
        <v>55</v>
      </c>
      <c r="G62" s="25"/>
      <c r="H62" s="4"/>
      <c r="I62" s="4"/>
      <c r="J62" s="4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ht="15.75" customHeight="1">
      <c r="A63" s="26">
        <v>13.0</v>
      </c>
      <c r="B63" s="26" t="s">
        <v>9</v>
      </c>
      <c r="C63" s="40">
        <v>2655.0</v>
      </c>
      <c r="D63" s="31" t="s">
        <v>160</v>
      </c>
      <c r="E63" s="35"/>
      <c r="F63" s="26" t="s">
        <v>55</v>
      </c>
      <c r="G63" s="25"/>
      <c r="H63" s="4"/>
      <c r="I63" s="4"/>
      <c r="J63" s="4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ht="15.75" customHeight="1">
      <c r="A64" s="26">
        <v>14.0</v>
      </c>
      <c r="B64" s="26" t="s">
        <v>9</v>
      </c>
      <c r="C64" s="40">
        <v>2255.0</v>
      </c>
      <c r="D64" s="31" t="s">
        <v>161</v>
      </c>
      <c r="E64" s="35"/>
      <c r="F64" s="26" t="s">
        <v>55</v>
      </c>
      <c r="G64" s="25"/>
      <c r="H64" s="4"/>
      <c r="I64" s="4"/>
      <c r="J64" s="4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ht="15.75" customHeight="1">
      <c r="A65" s="26">
        <v>15.0</v>
      </c>
      <c r="B65" s="26" t="s">
        <v>9</v>
      </c>
      <c r="C65" s="37" t="s">
        <v>162</v>
      </c>
      <c r="D65" s="31" t="s">
        <v>163</v>
      </c>
      <c r="E65" s="35"/>
      <c r="F65" s="26" t="s">
        <v>55</v>
      </c>
      <c r="G65" s="25"/>
      <c r="H65" s="4"/>
      <c r="I65" s="4"/>
      <c r="J65" s="4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ht="15.75" customHeight="1">
      <c r="A66" s="26">
        <v>1.0</v>
      </c>
      <c r="B66" s="26" t="s">
        <v>9</v>
      </c>
      <c r="C66" s="39" t="s">
        <v>164</v>
      </c>
      <c r="D66" s="34"/>
      <c r="E66" s="31" t="s">
        <v>165</v>
      </c>
      <c r="F66" s="26" t="s">
        <v>17</v>
      </c>
      <c r="G66" s="25"/>
      <c r="H66" s="4"/>
      <c r="I66" s="4"/>
      <c r="J66" s="4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ht="15.75" customHeight="1">
      <c r="A67" s="26">
        <v>2.0</v>
      </c>
      <c r="B67" s="26" t="s">
        <v>9</v>
      </c>
      <c r="C67" s="38">
        <v>2635.0</v>
      </c>
      <c r="D67" s="34"/>
      <c r="E67" s="31" t="s">
        <v>166</v>
      </c>
      <c r="F67" s="26" t="s">
        <v>17</v>
      </c>
      <c r="G67" s="25"/>
      <c r="H67" s="4"/>
      <c r="I67" s="4"/>
      <c r="J67" s="4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ht="15.75" customHeight="1">
      <c r="A68" s="26">
        <v>3.0</v>
      </c>
      <c r="B68" s="26" t="s">
        <v>9</v>
      </c>
      <c r="C68" s="39" t="s">
        <v>146</v>
      </c>
      <c r="D68" s="32"/>
      <c r="E68" s="26" t="s">
        <v>147</v>
      </c>
      <c r="F68" s="26" t="s">
        <v>17</v>
      </c>
      <c r="G68" s="25"/>
      <c r="H68" s="4"/>
      <c r="I68" s="4"/>
      <c r="J68" s="4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ht="15.75" customHeight="1">
      <c r="A69" s="26">
        <v>4.0</v>
      </c>
      <c r="B69" s="26" t="s">
        <v>9</v>
      </c>
      <c r="C69" s="40">
        <v>2655.0</v>
      </c>
      <c r="D69" s="26" t="s">
        <v>160</v>
      </c>
      <c r="E69" s="34"/>
      <c r="F69" s="26" t="s">
        <v>43</v>
      </c>
      <c r="G69" s="25"/>
      <c r="H69" s="4"/>
      <c r="I69" s="4"/>
      <c r="J69" s="4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ht="15.75" customHeight="1">
      <c r="A70" s="26">
        <v>5.0</v>
      </c>
      <c r="B70" s="26" t="s">
        <v>9</v>
      </c>
      <c r="C70" s="37" t="s">
        <v>167</v>
      </c>
      <c r="D70" s="26" t="s">
        <v>168</v>
      </c>
      <c r="E70" s="34"/>
      <c r="F70" s="26" t="s">
        <v>43</v>
      </c>
      <c r="G70" s="25"/>
      <c r="H70" s="4"/>
      <c r="I70" s="4"/>
      <c r="J70" s="4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ht="15.75" customHeight="1">
      <c r="A71" s="26">
        <v>9.0</v>
      </c>
      <c r="B71" s="26" t="s">
        <v>36</v>
      </c>
      <c r="C71" s="38">
        <v>845.0</v>
      </c>
      <c r="D71" s="26" t="s">
        <v>169</v>
      </c>
      <c r="E71" s="31" t="s">
        <v>170</v>
      </c>
      <c r="F71" s="26" t="s">
        <v>17</v>
      </c>
      <c r="G71" s="25"/>
      <c r="H71" s="4"/>
      <c r="I71" s="4"/>
      <c r="J71" s="4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ht="15.75" customHeight="1">
      <c r="A72" s="26">
        <v>10.0</v>
      </c>
      <c r="B72" s="26" t="s">
        <v>36</v>
      </c>
      <c r="C72" s="38">
        <v>815.0</v>
      </c>
      <c r="D72" s="26" t="s">
        <v>171</v>
      </c>
      <c r="E72" s="31" t="s">
        <v>172</v>
      </c>
      <c r="F72" s="26" t="s">
        <v>17</v>
      </c>
      <c r="G72" s="25"/>
      <c r="H72" s="4"/>
      <c r="I72" s="4"/>
      <c r="J72" s="4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ht="15.75" customHeight="1">
      <c r="A73" s="26">
        <v>13.0</v>
      </c>
      <c r="B73" s="26" t="s">
        <v>36</v>
      </c>
      <c r="C73" s="38">
        <v>785.0</v>
      </c>
      <c r="D73" s="26" t="s">
        <v>173</v>
      </c>
      <c r="E73" s="31" t="s">
        <v>174</v>
      </c>
      <c r="F73" s="26" t="s">
        <v>17</v>
      </c>
      <c r="G73" s="25"/>
      <c r="H73" s="4"/>
      <c r="I73" s="4"/>
      <c r="J73" s="4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ht="15.75" customHeight="1">
      <c r="A74" s="26">
        <v>14.0</v>
      </c>
      <c r="B74" s="26" t="s">
        <v>36</v>
      </c>
      <c r="C74" s="40">
        <v>625.0</v>
      </c>
      <c r="D74" s="26" t="s">
        <v>175</v>
      </c>
      <c r="E74" s="31" t="s">
        <v>176</v>
      </c>
      <c r="F74" s="26" t="s">
        <v>55</v>
      </c>
      <c r="G74" s="25"/>
      <c r="H74" s="4"/>
      <c r="I74" s="4"/>
      <c r="J74" s="4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ht="15.75" customHeight="1">
      <c r="A75" s="26">
        <v>15.0</v>
      </c>
      <c r="B75" s="26" t="s">
        <v>36</v>
      </c>
      <c r="C75" s="40">
        <v>685.0</v>
      </c>
      <c r="D75" s="26" t="s">
        <v>177</v>
      </c>
      <c r="E75" s="31" t="s">
        <v>178</v>
      </c>
      <c r="F75" s="26" t="s">
        <v>55</v>
      </c>
      <c r="G75" s="25"/>
      <c r="H75" s="4"/>
      <c r="I75" s="4"/>
      <c r="J75" s="4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ht="15.75" customHeight="1">
      <c r="A76" s="26">
        <v>16.0</v>
      </c>
      <c r="B76" s="26" t="s">
        <v>36</v>
      </c>
      <c r="C76" s="37" t="s">
        <v>179</v>
      </c>
      <c r="D76" s="31" t="s">
        <v>180</v>
      </c>
      <c r="E76" s="31" t="s">
        <v>181</v>
      </c>
      <c r="F76" s="26" t="s">
        <v>55</v>
      </c>
      <c r="G76" s="25"/>
      <c r="H76" s="4"/>
      <c r="I76" s="4"/>
      <c r="J76" s="4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ht="15.75" customHeight="1">
      <c r="A77" s="26">
        <v>18.0</v>
      </c>
      <c r="B77" s="26" t="s">
        <v>36</v>
      </c>
      <c r="C77" s="40">
        <v>665.0</v>
      </c>
      <c r="D77" s="31" t="s">
        <v>182</v>
      </c>
      <c r="E77" s="31" t="s">
        <v>183</v>
      </c>
      <c r="F77" s="26" t="s">
        <v>55</v>
      </c>
      <c r="G77" s="25"/>
      <c r="H77" s="4"/>
      <c r="I77" s="4"/>
      <c r="J77" s="4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ht="15.75" customHeight="1">
      <c r="A78" s="26">
        <v>22.0</v>
      </c>
      <c r="B78" s="26" t="s">
        <v>36</v>
      </c>
      <c r="C78" s="39" t="s">
        <v>184</v>
      </c>
      <c r="D78" s="31" t="s">
        <v>185</v>
      </c>
      <c r="E78" s="31" t="s">
        <v>186</v>
      </c>
      <c r="F78" s="26" t="s">
        <v>17</v>
      </c>
      <c r="G78" s="25"/>
      <c r="H78" s="4"/>
      <c r="I78" s="4"/>
      <c r="J78" s="4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ht="15.75" customHeight="1">
      <c r="A79" s="26">
        <v>25.0</v>
      </c>
      <c r="B79" s="26" t="s">
        <v>36</v>
      </c>
      <c r="C79" s="39" t="s">
        <v>187</v>
      </c>
      <c r="D79" s="26" t="s">
        <v>188</v>
      </c>
      <c r="E79" s="26" t="s">
        <v>189</v>
      </c>
      <c r="F79" s="26" t="s">
        <v>17</v>
      </c>
      <c r="G79" s="25"/>
      <c r="H79" s="4"/>
      <c r="I79" s="4"/>
      <c r="J79" s="4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ht="15.75" customHeight="1">
      <c r="A80" s="26">
        <v>26.0</v>
      </c>
      <c r="B80" s="26" t="s">
        <v>36</v>
      </c>
      <c r="C80" s="39" t="s">
        <v>190</v>
      </c>
      <c r="D80" s="31" t="s">
        <v>182</v>
      </c>
      <c r="E80" s="31" t="s">
        <v>183</v>
      </c>
      <c r="F80" s="26" t="s">
        <v>17</v>
      </c>
      <c r="G80" s="25"/>
      <c r="H80" s="4"/>
      <c r="I80" s="4"/>
      <c r="J80" s="4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ht="15.75" customHeight="1">
      <c r="A81" s="26">
        <v>27.0</v>
      </c>
      <c r="B81" s="26" t="s">
        <v>36</v>
      </c>
      <c r="C81" s="38">
        <v>785.0</v>
      </c>
      <c r="D81" s="31" t="s">
        <v>173</v>
      </c>
      <c r="E81" s="31" t="s">
        <v>174</v>
      </c>
      <c r="F81" s="26" t="s">
        <v>17</v>
      </c>
      <c r="G81" s="25"/>
      <c r="H81" s="4"/>
      <c r="I81" s="4"/>
      <c r="J81" s="4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ht="15.75" customHeight="1">
      <c r="A82" s="26">
        <v>27.0</v>
      </c>
      <c r="B82" s="26" t="s">
        <v>36</v>
      </c>
      <c r="C82" s="37" t="s">
        <v>191</v>
      </c>
      <c r="D82" s="31" t="s">
        <v>192</v>
      </c>
      <c r="E82" s="31" t="s">
        <v>193</v>
      </c>
      <c r="F82" s="26" t="s">
        <v>55</v>
      </c>
      <c r="G82" s="25"/>
      <c r="H82" s="4"/>
      <c r="I82" s="4"/>
      <c r="J82" s="4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ht="15.75" customHeight="1">
      <c r="A83" s="26">
        <v>30.0</v>
      </c>
      <c r="B83" s="26" t="s">
        <v>36</v>
      </c>
      <c r="C83" s="40">
        <v>645.0</v>
      </c>
      <c r="D83" s="31" t="s">
        <v>185</v>
      </c>
      <c r="E83" s="31" t="s">
        <v>186</v>
      </c>
      <c r="F83" s="26" t="s">
        <v>55</v>
      </c>
      <c r="G83" s="25"/>
      <c r="H83" s="4"/>
      <c r="I83" s="4"/>
      <c r="J83" s="4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ht="15.75" customHeight="1">
      <c r="A84" s="26">
        <v>3.0</v>
      </c>
      <c r="B84" s="26" t="s">
        <v>36</v>
      </c>
      <c r="C84" s="37" t="s">
        <v>194</v>
      </c>
      <c r="D84" s="31" t="s">
        <v>195</v>
      </c>
      <c r="E84" s="34"/>
      <c r="F84" s="26" t="s">
        <v>55</v>
      </c>
      <c r="G84" s="25"/>
      <c r="H84" s="4"/>
      <c r="I84" s="4"/>
      <c r="J84" s="4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ht="15.75" customHeight="1">
      <c r="A85" s="26">
        <v>1.0</v>
      </c>
      <c r="B85" s="26" t="s">
        <v>36</v>
      </c>
      <c r="C85" s="39" t="s">
        <v>196</v>
      </c>
      <c r="D85" s="34"/>
      <c r="E85" s="31" t="s">
        <v>197</v>
      </c>
      <c r="F85" s="26" t="s">
        <v>17</v>
      </c>
      <c r="G85" s="25"/>
      <c r="H85" s="4"/>
      <c r="I85" s="4"/>
      <c r="J85" s="4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ht="15.75" customHeight="1">
      <c r="A86" s="26">
        <v>2.0</v>
      </c>
      <c r="B86" s="26" t="s">
        <v>36</v>
      </c>
      <c r="C86" s="38">
        <v>985.0</v>
      </c>
      <c r="D86" s="34"/>
      <c r="E86" s="31" t="s">
        <v>198</v>
      </c>
      <c r="F86" s="26" t="s">
        <v>17</v>
      </c>
      <c r="G86" s="25"/>
      <c r="H86" s="4"/>
      <c r="I86" s="4"/>
      <c r="J86" s="4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ht="15.75" customHeight="1">
      <c r="A87" s="26">
        <v>3.0</v>
      </c>
      <c r="B87" s="26" t="s">
        <v>36</v>
      </c>
      <c r="C87" s="39" t="s">
        <v>199</v>
      </c>
      <c r="D87" s="34"/>
      <c r="E87" s="31" t="s">
        <v>200</v>
      </c>
      <c r="F87" s="26" t="s">
        <v>17</v>
      </c>
      <c r="G87" s="25"/>
      <c r="H87" s="4"/>
      <c r="I87" s="4"/>
      <c r="J87" s="4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ht="15.75" customHeight="1">
      <c r="A88" s="26">
        <v>4.0</v>
      </c>
      <c r="B88" s="26" t="s">
        <v>36</v>
      </c>
      <c r="C88" s="38">
        <v>995.0</v>
      </c>
      <c r="D88" s="34"/>
      <c r="E88" s="31" t="s">
        <v>201</v>
      </c>
      <c r="F88" s="26" t="s">
        <v>17</v>
      </c>
      <c r="G88" s="25"/>
      <c r="H88" s="4"/>
      <c r="I88" s="4"/>
      <c r="J88" s="4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ht="15.75" customHeight="1">
      <c r="A89" s="26">
        <v>5.0</v>
      </c>
      <c r="B89" s="26" t="s">
        <v>36</v>
      </c>
      <c r="C89" s="39" t="s">
        <v>202</v>
      </c>
      <c r="D89" s="32"/>
      <c r="E89" s="26" t="s">
        <v>203</v>
      </c>
      <c r="F89" s="26" t="s">
        <v>17</v>
      </c>
      <c r="G89" s="25"/>
      <c r="H89" s="4"/>
      <c r="I89" s="4"/>
      <c r="J89" s="4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ht="15.75" customHeight="1">
      <c r="A90" s="26">
        <v>6.0</v>
      </c>
      <c r="B90" s="26" t="s">
        <v>36</v>
      </c>
      <c r="C90" s="39" t="s">
        <v>204</v>
      </c>
      <c r="D90" s="32"/>
      <c r="E90" s="31" t="s">
        <v>205</v>
      </c>
      <c r="F90" s="26" t="s">
        <v>17</v>
      </c>
      <c r="G90" s="25"/>
      <c r="H90" s="4"/>
      <c r="I90" s="4"/>
      <c r="J90" s="4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ht="15.75" customHeight="1">
      <c r="A91" s="26">
        <v>7.0</v>
      </c>
      <c r="B91" s="26" t="s">
        <v>36</v>
      </c>
      <c r="C91" s="38">
        <v>815.0</v>
      </c>
      <c r="D91" s="32"/>
      <c r="E91" s="31" t="s">
        <v>206</v>
      </c>
      <c r="F91" s="26" t="s">
        <v>17</v>
      </c>
      <c r="G91" s="25"/>
      <c r="H91" s="4"/>
      <c r="I91" s="4"/>
      <c r="J91" s="4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ht="15.75" customHeight="1">
      <c r="A92" s="26">
        <v>8.0</v>
      </c>
      <c r="B92" s="26" t="s">
        <v>36</v>
      </c>
      <c r="C92" s="39" t="s">
        <v>207</v>
      </c>
      <c r="D92" s="32"/>
      <c r="E92" s="31" t="s">
        <v>208</v>
      </c>
      <c r="F92" s="26" t="s">
        <v>17</v>
      </c>
      <c r="G92" s="25"/>
      <c r="H92" s="4"/>
      <c r="I92" s="4"/>
      <c r="J92" s="4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ht="15.75" customHeight="1">
      <c r="A93" s="26">
        <v>9.0</v>
      </c>
      <c r="B93" s="26" t="s">
        <v>36</v>
      </c>
      <c r="C93" s="39" t="s">
        <v>209</v>
      </c>
      <c r="D93" s="32"/>
      <c r="E93" s="31" t="s">
        <v>210</v>
      </c>
      <c r="F93" s="26" t="s">
        <v>17</v>
      </c>
      <c r="G93" s="25"/>
      <c r="H93" s="4"/>
      <c r="I93" s="4"/>
      <c r="J93" s="4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ht="15.75" customHeight="1">
      <c r="A94" s="26">
        <v>10.0</v>
      </c>
      <c r="B94" s="26" t="s">
        <v>36</v>
      </c>
      <c r="C94" s="38">
        <v>965.0</v>
      </c>
      <c r="D94" s="32"/>
      <c r="E94" s="31" t="s">
        <v>211</v>
      </c>
      <c r="F94" s="26" t="s">
        <v>17</v>
      </c>
      <c r="G94" s="25"/>
      <c r="H94" s="4"/>
      <c r="I94" s="4"/>
      <c r="J94" s="4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ht="15.75" customHeight="1">
      <c r="A95" s="26">
        <v>11.0</v>
      </c>
      <c r="B95" s="26" t="s">
        <v>36</v>
      </c>
      <c r="C95" s="37" t="s">
        <v>212</v>
      </c>
      <c r="D95" s="26" t="s">
        <v>213</v>
      </c>
      <c r="E95" s="34"/>
      <c r="F95" s="26" t="s">
        <v>55</v>
      </c>
      <c r="G95" s="25"/>
      <c r="H95" s="4"/>
      <c r="I95" s="4"/>
      <c r="J95" s="4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ht="15.75" customHeight="1">
      <c r="A96" s="26">
        <v>12.0</v>
      </c>
      <c r="B96" s="26" t="s">
        <v>36</v>
      </c>
      <c r="C96" s="40">
        <v>965.0</v>
      </c>
      <c r="D96" s="26" t="s">
        <v>214</v>
      </c>
      <c r="E96" s="34"/>
      <c r="F96" s="26" t="s">
        <v>55</v>
      </c>
      <c r="G96" s="25"/>
      <c r="H96" s="4"/>
      <c r="I96" s="4"/>
      <c r="J96" s="4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ht="15.75" customHeight="1">
      <c r="A97" s="26">
        <v>13.0</v>
      </c>
      <c r="B97" s="26" t="s">
        <v>36</v>
      </c>
      <c r="C97" s="37" t="s">
        <v>215</v>
      </c>
      <c r="D97" s="26" t="s">
        <v>216</v>
      </c>
      <c r="E97" s="34"/>
      <c r="F97" s="26" t="s">
        <v>55</v>
      </c>
      <c r="G97" s="25"/>
      <c r="H97" s="4"/>
      <c r="I97" s="4"/>
      <c r="J97" s="4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ht="15.75" customHeight="1">
      <c r="A98" s="26">
        <v>14.0</v>
      </c>
      <c r="B98" s="26" t="s">
        <v>36</v>
      </c>
      <c r="C98" s="37" t="s">
        <v>217</v>
      </c>
      <c r="D98" s="26" t="s">
        <v>218</v>
      </c>
      <c r="E98" s="34"/>
      <c r="F98" s="26" t="s">
        <v>55</v>
      </c>
      <c r="G98" s="25"/>
      <c r="H98" s="4"/>
      <c r="I98" s="4"/>
      <c r="J98" s="4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ht="15.75" customHeight="1">
      <c r="A99" s="26">
        <v>15.0</v>
      </c>
      <c r="B99" s="26" t="s">
        <v>36</v>
      </c>
      <c r="C99" s="37" t="s">
        <v>215</v>
      </c>
      <c r="D99" s="26" t="s">
        <v>216</v>
      </c>
      <c r="E99" s="34"/>
      <c r="F99" s="26" t="s">
        <v>55</v>
      </c>
      <c r="G99" s="25"/>
      <c r="H99" s="4"/>
      <c r="I99" s="4"/>
      <c r="J99" s="4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ht="15.75" customHeight="1">
      <c r="A100" s="26">
        <v>16.0</v>
      </c>
      <c r="B100" s="26" t="s">
        <v>36</v>
      </c>
      <c r="C100" s="40">
        <v>815.0</v>
      </c>
      <c r="D100" s="26" t="s">
        <v>219</v>
      </c>
      <c r="E100" s="34"/>
      <c r="F100" s="26" t="s">
        <v>55</v>
      </c>
      <c r="G100" s="25"/>
      <c r="H100" s="4"/>
      <c r="I100" s="4"/>
      <c r="J100" s="4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ht="15.75" customHeight="1">
      <c r="A101" s="26">
        <v>17.0</v>
      </c>
      <c r="B101" s="26" t="s">
        <v>36</v>
      </c>
      <c r="C101" s="37" t="s">
        <v>217</v>
      </c>
      <c r="D101" s="26" t="s">
        <v>218</v>
      </c>
      <c r="E101" s="34"/>
      <c r="F101" s="26" t="s">
        <v>55</v>
      </c>
      <c r="G101" s="25"/>
      <c r="H101" s="4"/>
      <c r="I101" s="4"/>
      <c r="J101" s="4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ht="15.75" customHeight="1">
      <c r="A102" s="26">
        <v>18.0</v>
      </c>
      <c r="B102" s="26" t="s">
        <v>36</v>
      </c>
      <c r="C102" s="37" t="s">
        <v>220</v>
      </c>
      <c r="D102" s="26" t="s">
        <v>221</v>
      </c>
      <c r="E102" s="34"/>
      <c r="F102" s="26" t="s">
        <v>55</v>
      </c>
      <c r="G102" s="25"/>
      <c r="H102" s="4"/>
      <c r="I102" s="4"/>
      <c r="J102" s="4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ht="15.75" customHeight="1">
      <c r="A103" s="26">
        <v>19.0</v>
      </c>
      <c r="B103" s="26" t="s">
        <v>36</v>
      </c>
      <c r="C103" s="40">
        <v>1135.0</v>
      </c>
      <c r="D103" s="26" t="s">
        <v>222</v>
      </c>
      <c r="E103" s="34"/>
      <c r="F103" s="26" t="s">
        <v>55</v>
      </c>
      <c r="G103" s="25"/>
      <c r="H103" s="4"/>
      <c r="I103" s="4"/>
      <c r="J103" s="4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ht="15.75" customHeight="1">
      <c r="A104" s="26">
        <v>20.0</v>
      </c>
      <c r="B104" s="26" t="s">
        <v>36</v>
      </c>
      <c r="C104" s="40">
        <v>1015.0</v>
      </c>
      <c r="D104" s="26" t="s">
        <v>223</v>
      </c>
      <c r="E104" s="34"/>
      <c r="F104" s="26" t="s">
        <v>55</v>
      </c>
      <c r="G104" s="25"/>
      <c r="H104" s="4"/>
      <c r="I104" s="4"/>
      <c r="J104" s="4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ht="15.75" customHeight="1">
      <c r="A105" s="26">
        <v>21.0</v>
      </c>
      <c r="B105" s="26" t="s">
        <v>36</v>
      </c>
      <c r="C105" s="44" t="s">
        <v>212</v>
      </c>
      <c r="D105" s="26" t="s">
        <v>224</v>
      </c>
      <c r="E105" s="35"/>
      <c r="F105" s="11" t="s">
        <v>43</v>
      </c>
      <c r="G105" s="25"/>
      <c r="H105" s="4"/>
      <c r="I105" s="4"/>
      <c r="J105" s="4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ht="15.75" customHeight="1">
      <c r="A106" s="26">
        <v>22.0</v>
      </c>
      <c r="B106" s="26" t="s">
        <v>36</v>
      </c>
      <c r="C106" s="45">
        <v>975.0</v>
      </c>
      <c r="D106" s="26" t="s">
        <v>225</v>
      </c>
      <c r="E106" s="34"/>
      <c r="F106" s="11" t="s">
        <v>43</v>
      </c>
      <c r="G106" s="25"/>
      <c r="H106" s="4"/>
      <c r="I106" s="4"/>
      <c r="J106" s="4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ht="15.75" customHeight="1">
      <c r="A107" s="26">
        <v>23.0</v>
      </c>
      <c r="B107" s="26" t="s">
        <v>36</v>
      </c>
      <c r="C107" s="45">
        <v>985.0</v>
      </c>
      <c r="D107" s="26" t="s">
        <v>226</v>
      </c>
      <c r="E107" s="34"/>
      <c r="F107" s="11" t="s">
        <v>43</v>
      </c>
      <c r="G107" s="25"/>
      <c r="H107" s="4"/>
      <c r="I107" s="4"/>
      <c r="J107" s="4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ht="15.75" customHeight="1">
      <c r="A108" s="26">
        <v>24.0</v>
      </c>
      <c r="B108" s="26" t="s">
        <v>36</v>
      </c>
      <c r="C108" s="44" t="s">
        <v>227</v>
      </c>
      <c r="D108" s="26" t="s">
        <v>228</v>
      </c>
      <c r="E108" s="34"/>
      <c r="F108" s="11" t="s">
        <v>43</v>
      </c>
      <c r="G108" s="25"/>
      <c r="H108" s="4"/>
      <c r="I108" s="4"/>
      <c r="J108" s="4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ht="15.75" customHeight="1">
      <c r="A109" s="26">
        <v>25.0</v>
      </c>
      <c r="B109" s="26" t="s">
        <v>36</v>
      </c>
      <c r="C109" s="45">
        <v>885.0</v>
      </c>
      <c r="D109" s="26" t="s">
        <v>229</v>
      </c>
      <c r="E109" s="34"/>
      <c r="F109" s="11" t="s">
        <v>43</v>
      </c>
      <c r="G109" s="25"/>
      <c r="H109" s="4"/>
      <c r="I109" s="4"/>
      <c r="J109" s="4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ht="15.75" customHeight="1">
      <c r="A110" s="26">
        <v>26.0</v>
      </c>
      <c r="B110" s="26" t="s">
        <v>36</v>
      </c>
      <c r="C110" s="44" t="s">
        <v>204</v>
      </c>
      <c r="D110" s="26" t="s">
        <v>230</v>
      </c>
      <c r="E110" s="34"/>
      <c r="F110" s="11" t="s">
        <v>43</v>
      </c>
      <c r="G110" s="25"/>
      <c r="H110" s="4"/>
      <c r="I110" s="4"/>
      <c r="J110" s="4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ht="15.75" customHeight="1">
      <c r="A111" s="26">
        <v>27.0</v>
      </c>
      <c r="B111" s="26" t="s">
        <v>36</v>
      </c>
      <c r="C111" s="45">
        <v>835.0</v>
      </c>
      <c r="D111" s="26" t="s">
        <v>231</v>
      </c>
      <c r="E111" s="32"/>
      <c r="F111" s="11" t="s">
        <v>43</v>
      </c>
      <c r="G111" s="25"/>
      <c r="H111" s="4"/>
      <c r="I111" s="4"/>
      <c r="J111" s="4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ht="15.75" customHeight="1">
      <c r="A112" s="26">
        <v>28.0</v>
      </c>
      <c r="B112" s="26" t="s">
        <v>36</v>
      </c>
      <c r="C112" s="45">
        <v>875.0</v>
      </c>
      <c r="D112" s="26" t="s">
        <v>232</v>
      </c>
      <c r="E112" s="34"/>
      <c r="F112" s="11" t="s">
        <v>43</v>
      </c>
      <c r="G112" s="25"/>
      <c r="H112" s="4"/>
      <c r="I112" s="4"/>
      <c r="J112" s="4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ht="15.75" customHeight="1">
      <c r="A113" s="23" t="s">
        <v>13</v>
      </c>
      <c r="B113" s="23" t="s">
        <v>2</v>
      </c>
      <c r="C113" s="23" t="s">
        <v>3</v>
      </c>
      <c r="D113" s="46" t="s">
        <v>4</v>
      </c>
      <c r="E113" s="46" t="s">
        <v>5</v>
      </c>
      <c r="F113" s="24" t="s">
        <v>14</v>
      </c>
      <c r="G113" s="25"/>
      <c r="H113" s="4"/>
      <c r="I113" s="4"/>
      <c r="J113" s="4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ht="15.75" customHeight="1">
      <c r="A114" s="26">
        <v>1.0</v>
      </c>
      <c r="B114" s="26" t="s">
        <v>58</v>
      </c>
      <c r="C114" s="27">
        <v>0.99</v>
      </c>
      <c r="D114" s="35"/>
      <c r="E114" s="35">
        <f t="shared" ref="E114:E120" si="1">(C114*288)</f>
        <v>285.12</v>
      </c>
      <c r="F114" s="47" t="s">
        <v>17</v>
      </c>
      <c r="G114" s="25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ht="15.75" customHeight="1">
      <c r="A115" s="26">
        <v>2.0</v>
      </c>
      <c r="B115" s="26" t="s">
        <v>58</v>
      </c>
      <c r="C115" s="48">
        <v>0.985</v>
      </c>
      <c r="D115" s="35"/>
      <c r="E115" s="35">
        <f t="shared" si="1"/>
        <v>283.68</v>
      </c>
      <c r="F115" s="47" t="s">
        <v>17</v>
      </c>
      <c r="G115" s="25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ht="15.75" customHeight="1">
      <c r="A116" s="26">
        <v>3.0</v>
      </c>
      <c r="B116" s="26" t="s">
        <v>58</v>
      </c>
      <c r="C116" s="49">
        <v>0.945</v>
      </c>
      <c r="D116" s="35"/>
      <c r="E116" s="35">
        <f t="shared" si="1"/>
        <v>272.16</v>
      </c>
      <c r="F116" s="47" t="s">
        <v>17</v>
      </c>
      <c r="G116" s="25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ht="15.75" customHeight="1">
      <c r="A117" s="26">
        <v>4.0</v>
      </c>
      <c r="B117" s="26" t="s">
        <v>58</v>
      </c>
      <c r="C117" s="50">
        <v>1.045</v>
      </c>
      <c r="D117" s="35"/>
      <c r="E117" s="35">
        <f t="shared" si="1"/>
        <v>300.96</v>
      </c>
      <c r="F117" s="47" t="s">
        <v>17</v>
      </c>
      <c r="G117" s="25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ht="15.75" customHeight="1">
      <c r="A118" s="26">
        <v>5.0</v>
      </c>
      <c r="B118" s="26" t="s">
        <v>58</v>
      </c>
      <c r="C118" s="27">
        <v>0.81</v>
      </c>
      <c r="D118" s="35"/>
      <c r="E118" s="35">
        <f t="shared" si="1"/>
        <v>233.28</v>
      </c>
      <c r="F118" s="47" t="s">
        <v>17</v>
      </c>
      <c r="G118" s="25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ht="15.75" customHeight="1">
      <c r="A119" s="26">
        <v>6.0</v>
      </c>
      <c r="B119" s="26" t="s">
        <v>58</v>
      </c>
      <c r="C119" s="50">
        <v>0.885</v>
      </c>
      <c r="D119" s="35"/>
      <c r="E119" s="35">
        <f t="shared" si="1"/>
        <v>254.88</v>
      </c>
      <c r="F119" s="47" t="s">
        <v>17</v>
      </c>
      <c r="G119" s="25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ht="15.75" customHeight="1">
      <c r="A120" s="26">
        <v>7.0</v>
      </c>
      <c r="B120" s="26" t="s">
        <v>58</v>
      </c>
      <c r="C120" s="51">
        <v>0.975</v>
      </c>
      <c r="D120" s="35"/>
      <c r="E120" s="35">
        <f t="shared" si="1"/>
        <v>280.8</v>
      </c>
      <c r="F120" s="47" t="s">
        <v>17</v>
      </c>
      <c r="G120" s="25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ht="15.75" customHeight="1">
      <c r="A121" s="26">
        <v>8.0</v>
      </c>
      <c r="B121" s="26" t="s">
        <v>58</v>
      </c>
      <c r="C121" s="52">
        <v>0.905</v>
      </c>
      <c r="D121" s="35">
        <f t="shared" ref="D121:D141" si="2">(C121*360)</f>
        <v>325.8</v>
      </c>
      <c r="E121" s="35"/>
      <c r="F121" s="47" t="s">
        <v>233</v>
      </c>
      <c r="G121" s="25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ht="15.75" customHeight="1">
      <c r="A122" s="26">
        <v>9.0</v>
      </c>
      <c r="B122" s="26" t="s">
        <v>58</v>
      </c>
      <c r="C122" s="52">
        <v>1.205</v>
      </c>
      <c r="D122" s="35">
        <f t="shared" si="2"/>
        <v>433.8</v>
      </c>
      <c r="E122" s="25"/>
      <c r="F122" s="47" t="s">
        <v>233</v>
      </c>
      <c r="G122" s="25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ht="15.75" customHeight="1">
      <c r="A123" s="26">
        <v>10.0</v>
      </c>
      <c r="B123" s="26" t="s">
        <v>58</v>
      </c>
      <c r="C123" s="52">
        <v>0.945</v>
      </c>
      <c r="D123" s="35">
        <f t="shared" si="2"/>
        <v>340.2</v>
      </c>
      <c r="E123" s="35"/>
      <c r="F123" s="47" t="s">
        <v>233</v>
      </c>
      <c r="G123" s="25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ht="15.75" customHeight="1">
      <c r="A124" s="26">
        <v>11.0</v>
      </c>
      <c r="B124" s="26" t="s">
        <v>58</v>
      </c>
      <c r="C124" s="52">
        <v>0.955</v>
      </c>
      <c r="D124" s="35">
        <f t="shared" si="2"/>
        <v>343.8</v>
      </c>
      <c r="E124" s="35"/>
      <c r="F124" s="47" t="s">
        <v>233</v>
      </c>
      <c r="G124" s="25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ht="15.75" customHeight="1">
      <c r="A125" s="26">
        <v>12.0</v>
      </c>
      <c r="B125" s="26" t="s">
        <v>58</v>
      </c>
      <c r="C125" s="52">
        <v>1.115</v>
      </c>
      <c r="D125" s="35">
        <f t="shared" si="2"/>
        <v>401.4</v>
      </c>
      <c r="E125" s="25"/>
      <c r="F125" s="47" t="s">
        <v>233</v>
      </c>
      <c r="G125" s="25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ht="15.75" customHeight="1">
      <c r="A126" s="26">
        <v>13.0</v>
      </c>
      <c r="B126" s="26" t="s">
        <v>58</v>
      </c>
      <c r="C126" s="33">
        <v>0.91</v>
      </c>
      <c r="D126" s="35">
        <f t="shared" si="2"/>
        <v>327.6</v>
      </c>
      <c r="E126" s="35"/>
      <c r="F126" s="47" t="s">
        <v>233</v>
      </c>
      <c r="G126" s="25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ht="15.75" customHeight="1">
      <c r="A127" s="26">
        <v>14.0</v>
      </c>
      <c r="B127" s="26" t="s">
        <v>58</v>
      </c>
      <c r="C127" s="33">
        <v>0.93</v>
      </c>
      <c r="D127" s="35">
        <f t="shared" si="2"/>
        <v>334.8</v>
      </c>
      <c r="E127" s="35"/>
      <c r="F127" s="47" t="s">
        <v>233</v>
      </c>
      <c r="G127" s="25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ht="15.75" customHeight="1">
      <c r="A128" s="26">
        <v>15.0</v>
      </c>
      <c r="B128" s="26" t="s">
        <v>58</v>
      </c>
      <c r="C128" s="53">
        <v>1.045</v>
      </c>
      <c r="D128" s="35">
        <f t="shared" si="2"/>
        <v>376.2</v>
      </c>
      <c r="E128" s="35"/>
      <c r="F128" s="47" t="s">
        <v>233</v>
      </c>
      <c r="G128" s="25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ht="15.75" customHeight="1">
      <c r="A129" s="26">
        <v>16.0</v>
      </c>
      <c r="B129" s="26" t="s">
        <v>58</v>
      </c>
      <c r="C129" s="54">
        <v>1.09</v>
      </c>
      <c r="D129" s="35">
        <f t="shared" si="2"/>
        <v>392.4</v>
      </c>
      <c r="E129" s="35"/>
      <c r="F129" s="47" t="s">
        <v>233</v>
      </c>
      <c r="G129" s="25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ht="15.75" customHeight="1">
      <c r="A130" s="26">
        <v>17.0</v>
      </c>
      <c r="B130" s="26" t="s">
        <v>58</v>
      </c>
      <c r="C130" s="54">
        <v>0.89</v>
      </c>
      <c r="D130" s="35">
        <f t="shared" si="2"/>
        <v>320.4</v>
      </c>
      <c r="E130" s="35"/>
      <c r="F130" s="47" t="s">
        <v>233</v>
      </c>
      <c r="G130" s="25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ht="15.75" customHeight="1">
      <c r="A131" s="26">
        <v>18.0</v>
      </c>
      <c r="B131" s="26" t="s">
        <v>58</v>
      </c>
      <c r="C131" s="54">
        <v>1.11</v>
      </c>
      <c r="D131" s="35">
        <f t="shared" si="2"/>
        <v>399.6</v>
      </c>
      <c r="E131" s="35"/>
      <c r="F131" s="47" t="s">
        <v>233</v>
      </c>
      <c r="G131" s="25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ht="15.75" customHeight="1">
      <c r="A132" s="26">
        <v>19.0</v>
      </c>
      <c r="B132" s="26" t="s">
        <v>58</v>
      </c>
      <c r="C132" s="55">
        <v>1.105</v>
      </c>
      <c r="D132" s="35">
        <f t="shared" si="2"/>
        <v>397.8</v>
      </c>
      <c r="E132" s="35"/>
      <c r="F132" s="47" t="s">
        <v>233</v>
      </c>
      <c r="G132" s="25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ht="15.75" customHeight="1">
      <c r="A133" s="26">
        <v>20.0</v>
      </c>
      <c r="B133" s="26" t="s">
        <v>58</v>
      </c>
      <c r="C133" s="55">
        <v>1.075</v>
      </c>
      <c r="D133" s="35">
        <f t="shared" si="2"/>
        <v>387</v>
      </c>
      <c r="E133" s="35"/>
      <c r="F133" s="47" t="s">
        <v>233</v>
      </c>
      <c r="G133" s="25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ht="15.75" customHeight="1">
      <c r="A134" s="26">
        <v>21.0</v>
      </c>
      <c r="B134" s="26" t="s">
        <v>58</v>
      </c>
      <c r="C134" s="55">
        <v>0.885</v>
      </c>
      <c r="D134" s="35">
        <f t="shared" si="2"/>
        <v>318.6</v>
      </c>
      <c r="E134" s="35"/>
      <c r="F134" s="47" t="s">
        <v>233</v>
      </c>
      <c r="G134" s="25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ht="15.75" customHeight="1">
      <c r="A135" s="26">
        <v>22.0</v>
      </c>
      <c r="B135" s="26" t="s">
        <v>58</v>
      </c>
      <c r="C135" s="55">
        <v>1.045</v>
      </c>
      <c r="D135" s="35">
        <f t="shared" si="2"/>
        <v>376.2</v>
      </c>
      <c r="E135" s="35"/>
      <c r="F135" s="47" t="s">
        <v>233</v>
      </c>
      <c r="G135" s="25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ht="15.75" customHeight="1">
      <c r="A136" s="26">
        <v>23.0</v>
      </c>
      <c r="B136" s="26" t="s">
        <v>58</v>
      </c>
      <c r="C136" s="55">
        <v>1.01</v>
      </c>
      <c r="D136" s="35">
        <f t="shared" si="2"/>
        <v>363.6</v>
      </c>
      <c r="E136" s="35"/>
      <c r="F136" s="47" t="s">
        <v>233</v>
      </c>
      <c r="G136" s="25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ht="15.75" customHeight="1">
      <c r="A137" s="26">
        <v>24.0</v>
      </c>
      <c r="B137" s="26" t="s">
        <v>58</v>
      </c>
      <c r="C137" s="55">
        <v>0.945</v>
      </c>
      <c r="D137" s="35">
        <f t="shared" si="2"/>
        <v>340.2</v>
      </c>
      <c r="E137" s="35"/>
      <c r="F137" s="47" t="s">
        <v>233</v>
      </c>
      <c r="G137" s="25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ht="15.75" customHeight="1">
      <c r="A138" s="26">
        <v>25.0</v>
      </c>
      <c r="B138" s="26" t="s">
        <v>58</v>
      </c>
      <c r="C138" s="55">
        <v>1.06</v>
      </c>
      <c r="D138" s="35">
        <f t="shared" si="2"/>
        <v>381.6</v>
      </c>
      <c r="E138" s="25"/>
      <c r="F138" s="47" t="s">
        <v>233</v>
      </c>
      <c r="G138" s="25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ht="15.75" customHeight="1">
      <c r="A139" s="26">
        <v>26.0</v>
      </c>
      <c r="B139" s="26" t="s">
        <v>58</v>
      </c>
      <c r="C139" s="55">
        <v>0.855</v>
      </c>
      <c r="D139" s="35">
        <f t="shared" si="2"/>
        <v>307.8</v>
      </c>
      <c r="E139" s="35"/>
      <c r="F139" s="47" t="s">
        <v>233</v>
      </c>
      <c r="G139" s="25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ht="15.75" customHeight="1">
      <c r="A140" s="26">
        <v>26.0</v>
      </c>
      <c r="B140" s="26" t="s">
        <v>58</v>
      </c>
      <c r="C140" s="55">
        <v>0.99</v>
      </c>
      <c r="D140" s="35">
        <f t="shared" si="2"/>
        <v>356.4</v>
      </c>
      <c r="E140" s="35"/>
      <c r="F140" s="47" t="s">
        <v>233</v>
      </c>
      <c r="G140" s="25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ht="15.75" customHeight="1">
      <c r="A141" s="26">
        <v>28.0</v>
      </c>
      <c r="B141" s="26" t="s">
        <v>58</v>
      </c>
      <c r="C141" s="53">
        <v>0.885</v>
      </c>
      <c r="D141" s="35">
        <f t="shared" si="2"/>
        <v>318.6</v>
      </c>
      <c r="E141" s="25"/>
      <c r="F141" s="47" t="s">
        <v>233</v>
      </c>
      <c r="G141" s="25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ht="15.75" customHeight="1">
      <c r="A142" s="23" t="s">
        <v>13</v>
      </c>
      <c r="B142" s="23" t="s">
        <v>2</v>
      </c>
      <c r="C142" s="23" t="s">
        <v>3</v>
      </c>
      <c r="D142" s="46" t="s">
        <v>4</v>
      </c>
      <c r="E142" s="46" t="s">
        <v>5</v>
      </c>
      <c r="F142" s="24" t="s">
        <v>14</v>
      </c>
      <c r="G142" s="25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ht="15.75" customHeight="1">
      <c r="A143" s="26">
        <v>8.0</v>
      </c>
      <c r="B143" s="26" t="s">
        <v>40</v>
      </c>
      <c r="C143" s="40">
        <v>725.0</v>
      </c>
      <c r="D143" s="31" t="s">
        <v>234</v>
      </c>
      <c r="E143" s="31"/>
      <c r="F143" s="26" t="s">
        <v>55</v>
      </c>
      <c r="G143" s="25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ht="15.75" customHeight="1">
      <c r="A144" s="26">
        <v>9.0</v>
      </c>
      <c r="B144" s="26" t="s">
        <v>40</v>
      </c>
      <c r="C144" s="37" t="s">
        <v>235</v>
      </c>
      <c r="D144" s="31" t="s">
        <v>236</v>
      </c>
      <c r="E144" s="31"/>
      <c r="F144" s="26" t="s">
        <v>55</v>
      </c>
      <c r="G144" s="25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ht="15.75" customHeight="1">
      <c r="A145" s="26">
        <v>12.0</v>
      </c>
      <c r="B145" s="26" t="s">
        <v>40</v>
      </c>
      <c r="C145" s="39" t="s">
        <v>207</v>
      </c>
      <c r="D145" s="31"/>
      <c r="E145" s="31" t="s">
        <v>237</v>
      </c>
      <c r="F145" s="26" t="s">
        <v>17</v>
      </c>
      <c r="G145" s="25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ht="15.75" customHeight="1">
      <c r="A146" s="26">
        <v>13.0</v>
      </c>
      <c r="B146" s="26" t="s">
        <v>40</v>
      </c>
      <c r="C146" s="37" t="s">
        <v>235</v>
      </c>
      <c r="D146" s="31" t="s">
        <v>236</v>
      </c>
      <c r="E146" s="31"/>
      <c r="F146" s="26" t="s">
        <v>55</v>
      </c>
      <c r="G146" s="25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ht="15.75" customHeight="1">
      <c r="A147" s="26">
        <v>14.0</v>
      </c>
      <c r="B147" s="26" t="s">
        <v>40</v>
      </c>
      <c r="C147" s="40">
        <v>715.0</v>
      </c>
      <c r="D147" s="26" t="s">
        <v>238</v>
      </c>
      <c r="E147" s="26"/>
      <c r="F147" s="26" t="s">
        <v>55</v>
      </c>
      <c r="G147" s="25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ht="15.75" customHeight="1">
      <c r="A148" s="26">
        <v>15.0</v>
      </c>
      <c r="B148" s="26" t="s">
        <v>40</v>
      </c>
      <c r="C148" s="39" t="s">
        <v>190</v>
      </c>
      <c r="D148" s="31"/>
      <c r="E148" s="31" t="s">
        <v>239</v>
      </c>
      <c r="F148" s="26" t="s">
        <v>17</v>
      </c>
      <c r="G148" s="25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ht="15.75" customHeight="1">
      <c r="A149" s="26">
        <v>17.0</v>
      </c>
      <c r="B149" s="26" t="s">
        <v>40</v>
      </c>
      <c r="C149" s="38">
        <v>655.0</v>
      </c>
      <c r="D149" s="31"/>
      <c r="E149" s="31" t="s">
        <v>240</v>
      </c>
      <c r="F149" s="26" t="s">
        <v>17</v>
      </c>
      <c r="G149" s="25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ht="15.75" customHeight="1">
      <c r="A150" s="26">
        <v>18.0</v>
      </c>
      <c r="B150" s="26" t="s">
        <v>40</v>
      </c>
      <c r="C150" s="40">
        <v>715.0</v>
      </c>
      <c r="D150" s="31" t="s">
        <v>238</v>
      </c>
      <c r="E150" s="31"/>
      <c r="F150" s="26" t="s">
        <v>55</v>
      </c>
      <c r="G150" s="25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ht="15.75" customHeight="1">
      <c r="A151" s="26">
        <v>23.0</v>
      </c>
      <c r="B151" s="26" t="s">
        <v>40</v>
      </c>
      <c r="C151" s="37" t="s">
        <v>235</v>
      </c>
      <c r="D151" s="31" t="s">
        <v>236</v>
      </c>
      <c r="E151" s="31"/>
      <c r="F151" s="26" t="s">
        <v>55</v>
      </c>
      <c r="G151" s="25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ht="15.75" customHeight="1">
      <c r="A152" s="26">
        <v>24.0</v>
      </c>
      <c r="B152" s="26" t="s">
        <v>40</v>
      </c>
      <c r="C152" s="39" t="s">
        <v>191</v>
      </c>
      <c r="D152" s="31" t="s">
        <v>241</v>
      </c>
      <c r="E152" s="31" t="s">
        <v>242</v>
      </c>
      <c r="F152" s="26" t="s">
        <v>17</v>
      </c>
      <c r="G152" s="25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ht="15.75" customHeight="1">
      <c r="A153" s="26">
        <v>25.0</v>
      </c>
      <c r="B153" s="26" t="s">
        <v>40</v>
      </c>
      <c r="C153" s="40">
        <v>725.0</v>
      </c>
      <c r="D153" s="31" t="s">
        <v>234</v>
      </c>
      <c r="E153" s="31"/>
      <c r="F153" s="26" t="s">
        <v>55</v>
      </c>
      <c r="G153" s="25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ht="15.75" customHeight="1">
      <c r="A154" s="26">
        <v>27.0</v>
      </c>
      <c r="B154" s="26" t="s">
        <v>40</v>
      </c>
      <c r="C154" s="40">
        <v>715.0</v>
      </c>
      <c r="D154" s="31" t="s">
        <v>238</v>
      </c>
      <c r="E154" s="31"/>
      <c r="F154" s="26" t="s">
        <v>55</v>
      </c>
      <c r="G154" s="25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ht="15.75" customHeight="1">
      <c r="A155" s="26">
        <v>30.0</v>
      </c>
      <c r="B155" s="26" t="s">
        <v>40</v>
      </c>
      <c r="C155" s="38">
        <v>675.0</v>
      </c>
      <c r="D155" s="26"/>
      <c r="E155" s="26" t="s">
        <v>243</v>
      </c>
      <c r="F155" s="39" t="s">
        <v>17</v>
      </c>
      <c r="G155" s="25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ht="15.75" customHeight="1">
      <c r="A156" s="23" t="s">
        <v>13</v>
      </c>
      <c r="B156" s="23" t="s">
        <v>2</v>
      </c>
      <c r="C156" s="23" t="s">
        <v>3</v>
      </c>
      <c r="D156" s="46" t="s">
        <v>4</v>
      </c>
      <c r="E156" s="46" t="s">
        <v>5</v>
      </c>
      <c r="F156" s="24" t="s">
        <v>14</v>
      </c>
      <c r="G156" s="25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ht="15.75" customHeight="1">
      <c r="A157" s="26">
        <v>4.0</v>
      </c>
      <c r="B157" s="26" t="s">
        <v>40</v>
      </c>
      <c r="C157" s="40">
        <v>755.0</v>
      </c>
      <c r="D157" s="31" t="s">
        <v>244</v>
      </c>
      <c r="E157" s="34"/>
      <c r="F157" s="26" t="s">
        <v>55</v>
      </c>
      <c r="G157" s="25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ht="15.75" customHeight="1">
      <c r="A158" s="26">
        <v>5.0</v>
      </c>
      <c r="B158" s="26" t="s">
        <v>40</v>
      </c>
      <c r="C158" s="40">
        <v>895.0</v>
      </c>
      <c r="D158" s="31" t="s">
        <v>245</v>
      </c>
      <c r="E158" s="34"/>
      <c r="F158" s="26" t="s">
        <v>55</v>
      </c>
      <c r="G158" s="25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ht="15.75" customHeight="1">
      <c r="A159" s="23" t="s">
        <v>13</v>
      </c>
      <c r="B159" s="23" t="s">
        <v>2</v>
      </c>
      <c r="C159" s="23" t="s">
        <v>3</v>
      </c>
      <c r="D159" s="46" t="s">
        <v>4</v>
      </c>
      <c r="E159" s="46" t="s">
        <v>5</v>
      </c>
      <c r="F159" s="24" t="s">
        <v>14</v>
      </c>
      <c r="G159" s="25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ht="15.75" customHeight="1">
      <c r="A160" s="26">
        <v>1.0</v>
      </c>
      <c r="B160" s="26" t="s">
        <v>40</v>
      </c>
      <c r="C160" s="56" t="s">
        <v>246</v>
      </c>
      <c r="D160" s="34"/>
      <c r="E160" s="31" t="s">
        <v>247</v>
      </c>
      <c r="F160" s="26" t="s">
        <v>17</v>
      </c>
      <c r="G160" s="25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ht="15.75" customHeight="1">
      <c r="A161" s="26">
        <v>2.0</v>
      </c>
      <c r="B161" s="26" t="s">
        <v>40</v>
      </c>
      <c r="C161" s="56" t="s">
        <v>248</v>
      </c>
      <c r="D161" s="34"/>
      <c r="E161" s="31" t="s">
        <v>249</v>
      </c>
      <c r="F161" s="26" t="s">
        <v>17</v>
      </c>
      <c r="G161" s="25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ht="15.75" customHeight="1">
      <c r="A162" s="26">
        <v>3.0</v>
      </c>
      <c r="B162" s="26" t="s">
        <v>40</v>
      </c>
      <c r="C162" s="56">
        <v>765.0</v>
      </c>
      <c r="D162" s="34"/>
      <c r="E162" s="31" t="s">
        <v>250</v>
      </c>
      <c r="F162" s="26" t="s">
        <v>17</v>
      </c>
      <c r="G162" s="25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ht="15.75" customHeight="1">
      <c r="A163" s="26">
        <v>4.0</v>
      </c>
      <c r="B163" s="26" t="s">
        <v>40</v>
      </c>
      <c r="C163" s="56">
        <v>775.0</v>
      </c>
      <c r="D163" s="34"/>
      <c r="E163" s="31" t="s">
        <v>251</v>
      </c>
      <c r="F163" s="26" t="s">
        <v>17</v>
      </c>
      <c r="G163" s="25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ht="15.75" customHeight="1">
      <c r="A164" s="26">
        <v>5.0</v>
      </c>
      <c r="B164" s="26" t="s">
        <v>40</v>
      </c>
      <c r="C164" s="56">
        <v>775.0</v>
      </c>
      <c r="D164" s="34"/>
      <c r="E164" s="31" t="s">
        <v>251</v>
      </c>
      <c r="F164" s="26" t="s">
        <v>17</v>
      </c>
      <c r="G164" s="25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ht="15.75" customHeight="1">
      <c r="A165" s="26">
        <v>6.0</v>
      </c>
      <c r="B165" s="26" t="s">
        <v>40</v>
      </c>
      <c r="C165" s="56">
        <v>735.0</v>
      </c>
      <c r="D165" s="34"/>
      <c r="E165" s="31" t="s">
        <v>252</v>
      </c>
      <c r="F165" s="26" t="s">
        <v>17</v>
      </c>
      <c r="G165" s="25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ht="15.75" customHeight="1">
      <c r="A166" s="26">
        <v>7.0</v>
      </c>
      <c r="B166" s="26" t="s">
        <v>40</v>
      </c>
      <c r="C166" s="56" t="s">
        <v>220</v>
      </c>
      <c r="D166" s="34"/>
      <c r="E166" s="26" t="s">
        <v>253</v>
      </c>
      <c r="F166" s="26" t="s">
        <v>17</v>
      </c>
      <c r="G166" s="25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ht="15.75" customHeight="1">
      <c r="A167" s="26">
        <v>8.0</v>
      </c>
      <c r="B167" s="26" t="s">
        <v>40</v>
      </c>
      <c r="C167" s="56">
        <v>755.0</v>
      </c>
      <c r="D167" s="34"/>
      <c r="E167" s="26" t="s">
        <v>254</v>
      </c>
      <c r="F167" s="26" t="s">
        <v>17</v>
      </c>
      <c r="G167" s="25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ht="15.75" customHeight="1">
      <c r="A168" s="26">
        <v>9.0</v>
      </c>
      <c r="B168" s="26" t="s">
        <v>40</v>
      </c>
      <c r="C168" s="56" t="s">
        <v>246</v>
      </c>
      <c r="D168" s="34"/>
      <c r="E168" s="26" t="s">
        <v>247</v>
      </c>
      <c r="F168" s="26" t="s">
        <v>17</v>
      </c>
      <c r="G168" s="25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ht="15.75" customHeight="1">
      <c r="A169" s="26">
        <v>10.0</v>
      </c>
      <c r="B169" s="26" t="s">
        <v>40</v>
      </c>
      <c r="C169" s="56">
        <v>785.0</v>
      </c>
      <c r="D169" s="34"/>
      <c r="E169" s="26" t="s">
        <v>255</v>
      </c>
      <c r="F169" s="26" t="s">
        <v>17</v>
      </c>
      <c r="G169" s="25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ht="15.75" customHeight="1">
      <c r="A170" s="26">
        <v>11.0</v>
      </c>
      <c r="B170" s="26" t="s">
        <v>40</v>
      </c>
      <c r="C170" s="57">
        <v>865.0</v>
      </c>
      <c r="D170" s="31" t="s">
        <v>256</v>
      </c>
      <c r="E170" s="32"/>
      <c r="F170" s="26" t="s">
        <v>55</v>
      </c>
      <c r="G170" s="25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ht="15.75" customHeight="1">
      <c r="A171" s="26">
        <v>12.0</v>
      </c>
      <c r="B171" s="26" t="s">
        <v>40</v>
      </c>
      <c r="C171" s="57" t="s">
        <v>246</v>
      </c>
      <c r="D171" s="26" t="s">
        <v>257</v>
      </c>
      <c r="E171" s="32"/>
      <c r="F171" s="26" t="s">
        <v>55</v>
      </c>
      <c r="G171" s="25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ht="15.75" customHeight="1">
      <c r="A172" s="26">
        <v>13.0</v>
      </c>
      <c r="B172" s="26" t="s">
        <v>40</v>
      </c>
      <c r="C172" s="57" t="s">
        <v>258</v>
      </c>
      <c r="D172" s="26" t="s">
        <v>259</v>
      </c>
      <c r="E172" s="34"/>
      <c r="F172" s="26" t="s">
        <v>55</v>
      </c>
      <c r="G172" s="25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ht="15.75" customHeight="1">
      <c r="A173" s="26">
        <v>14.0</v>
      </c>
      <c r="B173" s="26" t="s">
        <v>40</v>
      </c>
      <c r="C173" s="57" t="s">
        <v>207</v>
      </c>
      <c r="D173" s="26" t="s">
        <v>260</v>
      </c>
      <c r="E173" s="34"/>
      <c r="F173" s="26" t="s">
        <v>55</v>
      </c>
      <c r="G173" s="25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ht="15.75" customHeight="1">
      <c r="A174" s="26">
        <v>15.0</v>
      </c>
      <c r="B174" s="26" t="s">
        <v>40</v>
      </c>
      <c r="C174" s="57" t="s">
        <v>194</v>
      </c>
      <c r="D174" s="26" t="s">
        <v>261</v>
      </c>
      <c r="E174" s="34"/>
      <c r="F174" s="26" t="s">
        <v>55</v>
      </c>
      <c r="G174" s="25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ht="15.75" customHeight="1">
      <c r="A175" s="26">
        <v>17.0</v>
      </c>
      <c r="B175" s="26" t="s">
        <v>40</v>
      </c>
      <c r="C175" s="57" t="s">
        <v>187</v>
      </c>
      <c r="D175" s="31" t="s">
        <v>262</v>
      </c>
      <c r="E175" s="32"/>
      <c r="F175" s="26" t="s">
        <v>55</v>
      </c>
      <c r="G175" s="25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ht="15.75" customHeight="1">
      <c r="A176" s="26">
        <v>18.0</v>
      </c>
      <c r="B176" s="26" t="s">
        <v>40</v>
      </c>
      <c r="C176" s="57">
        <v>795.0</v>
      </c>
      <c r="D176" s="31" t="s">
        <v>263</v>
      </c>
      <c r="E176" s="25"/>
      <c r="F176" s="26" t="s">
        <v>55</v>
      </c>
      <c r="G176" s="25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ht="15.75" customHeight="1">
      <c r="A177" s="26">
        <v>19.0</v>
      </c>
      <c r="B177" s="26" t="s">
        <v>40</v>
      </c>
      <c r="C177" s="57">
        <v>745.0</v>
      </c>
      <c r="D177" s="26" t="s">
        <v>264</v>
      </c>
      <c r="E177" s="32"/>
      <c r="F177" s="26" t="s">
        <v>55</v>
      </c>
      <c r="G177" s="25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ht="15.75" customHeight="1">
      <c r="A178" s="26">
        <v>20.0</v>
      </c>
      <c r="B178" s="26" t="s">
        <v>40</v>
      </c>
      <c r="C178" s="57" t="s">
        <v>265</v>
      </c>
      <c r="D178" s="31" t="s">
        <v>266</v>
      </c>
      <c r="E178" s="35"/>
      <c r="F178" s="11" t="s">
        <v>43</v>
      </c>
      <c r="G178" s="25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ht="15.75" customHeight="1">
      <c r="A179" s="26">
        <v>21.0</v>
      </c>
      <c r="B179" s="26" t="s">
        <v>40</v>
      </c>
      <c r="C179" s="58">
        <v>735.0</v>
      </c>
      <c r="D179" s="34"/>
      <c r="E179" s="31" t="s">
        <v>252</v>
      </c>
      <c r="F179" s="26" t="s">
        <v>51</v>
      </c>
      <c r="G179" s="25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ht="15.75" customHeight="1">
      <c r="A180" s="26">
        <v>22.0</v>
      </c>
      <c r="B180" s="26" t="s">
        <v>40</v>
      </c>
      <c r="C180" s="58" t="s">
        <v>258</v>
      </c>
      <c r="D180" s="34"/>
      <c r="E180" s="31" t="s">
        <v>267</v>
      </c>
      <c r="F180" s="26" t="s">
        <v>51</v>
      </c>
      <c r="G180" s="25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ht="15.75" customHeight="1">
      <c r="A181" s="26">
        <v>23.0</v>
      </c>
      <c r="B181" s="26" t="s">
        <v>40</v>
      </c>
      <c r="C181" s="58">
        <v>805.0</v>
      </c>
      <c r="D181" s="34"/>
      <c r="E181" s="31" t="s">
        <v>268</v>
      </c>
      <c r="F181" s="26" t="s">
        <v>51</v>
      </c>
      <c r="G181" s="25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ht="15.75" customHeight="1">
      <c r="A182" s="26">
        <v>24.0</v>
      </c>
      <c r="B182" s="26" t="s">
        <v>40</v>
      </c>
      <c r="C182" s="59">
        <v>0.725</v>
      </c>
      <c r="D182" s="31">
        <f t="shared" ref="D182:D183" si="3">(C182*280)</f>
        <v>203</v>
      </c>
      <c r="E182" s="34"/>
      <c r="F182" s="11" t="s">
        <v>43</v>
      </c>
      <c r="G182" s="25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ht="15.75" customHeight="1">
      <c r="A183" s="26">
        <v>25.0</v>
      </c>
      <c r="B183" s="26" t="s">
        <v>40</v>
      </c>
      <c r="C183" s="59">
        <v>0.705</v>
      </c>
      <c r="D183" s="31">
        <f t="shared" si="3"/>
        <v>197.4</v>
      </c>
      <c r="E183" s="34"/>
      <c r="F183" s="11" t="s">
        <v>43</v>
      </c>
      <c r="G183" s="25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ht="15.75" customHeight="1">
      <c r="A184" s="23" t="s">
        <v>13</v>
      </c>
      <c r="B184" s="23" t="s">
        <v>2</v>
      </c>
      <c r="C184" s="23" t="s">
        <v>3</v>
      </c>
      <c r="D184" s="46" t="s">
        <v>4</v>
      </c>
      <c r="E184" s="46" t="s">
        <v>5</v>
      </c>
      <c r="F184" s="24" t="s">
        <v>14</v>
      </c>
      <c r="G184" s="25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ht="15.75" customHeight="1">
      <c r="A185" s="26">
        <v>1.0</v>
      </c>
      <c r="B185" s="26" t="s">
        <v>40</v>
      </c>
      <c r="C185" s="60">
        <v>0.775</v>
      </c>
      <c r="D185" s="34"/>
      <c r="E185" s="34">
        <f t="shared" ref="E185:E190" si="4">(C185*230)</f>
        <v>178.25</v>
      </c>
      <c r="F185" s="26" t="s">
        <v>17</v>
      </c>
      <c r="G185" s="25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ht="15.75" customHeight="1">
      <c r="A186" s="26">
        <v>2.0</v>
      </c>
      <c r="B186" s="26" t="s">
        <v>40</v>
      </c>
      <c r="C186" s="27">
        <v>0.91</v>
      </c>
      <c r="D186" s="34"/>
      <c r="E186" s="34">
        <f t="shared" si="4"/>
        <v>209.3</v>
      </c>
      <c r="F186" s="26" t="s">
        <v>17</v>
      </c>
      <c r="G186" s="25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ht="15.75" customHeight="1">
      <c r="A187" s="26">
        <v>3.0</v>
      </c>
      <c r="B187" s="26" t="s">
        <v>40</v>
      </c>
      <c r="C187" s="27">
        <v>0.75</v>
      </c>
      <c r="D187" s="34"/>
      <c r="E187" s="34">
        <f t="shared" si="4"/>
        <v>172.5</v>
      </c>
      <c r="F187" s="26" t="s">
        <v>17</v>
      </c>
      <c r="G187" s="25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ht="15.75" customHeight="1">
      <c r="A188" s="26">
        <v>5.0</v>
      </c>
      <c r="B188" s="26" t="s">
        <v>40</v>
      </c>
      <c r="C188" s="27">
        <v>0.76</v>
      </c>
      <c r="D188" s="34"/>
      <c r="E188" s="34">
        <f t="shared" si="4"/>
        <v>174.8</v>
      </c>
      <c r="F188" s="26" t="s">
        <v>17</v>
      </c>
      <c r="G188" s="25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ht="15.75" customHeight="1">
      <c r="A189" s="26">
        <v>6.0</v>
      </c>
      <c r="B189" s="26" t="s">
        <v>40</v>
      </c>
      <c r="C189" s="60">
        <v>0.905</v>
      </c>
      <c r="D189" s="34"/>
      <c r="E189" s="34">
        <f t="shared" si="4"/>
        <v>208.15</v>
      </c>
      <c r="F189" s="26" t="s">
        <v>17</v>
      </c>
      <c r="G189" s="25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ht="15.75" customHeight="1">
      <c r="A190" s="26">
        <v>7.0</v>
      </c>
      <c r="B190" s="26" t="s">
        <v>40</v>
      </c>
      <c r="C190" s="61">
        <v>0.68</v>
      </c>
      <c r="D190" s="34"/>
      <c r="E190" s="34">
        <f t="shared" si="4"/>
        <v>156.4</v>
      </c>
      <c r="F190" s="26" t="s">
        <v>17</v>
      </c>
      <c r="G190" s="25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ht="15.75" customHeight="1">
      <c r="A191" s="26">
        <v>8.0</v>
      </c>
      <c r="B191" s="26" t="s">
        <v>40</v>
      </c>
      <c r="C191" s="62">
        <v>0.8</v>
      </c>
      <c r="D191" s="34">
        <f t="shared" ref="D191:D212" si="5">(C191*280)</f>
        <v>224</v>
      </c>
      <c r="E191" s="34"/>
      <c r="F191" s="26" t="s">
        <v>43</v>
      </c>
      <c r="G191" s="25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ht="15.75" customHeight="1">
      <c r="A192" s="26">
        <v>9.0</v>
      </c>
      <c r="B192" s="26" t="s">
        <v>40</v>
      </c>
      <c r="C192" s="63">
        <v>0.915</v>
      </c>
      <c r="D192" s="34">
        <f t="shared" si="5"/>
        <v>256.2</v>
      </c>
      <c r="E192" s="34"/>
      <c r="F192" s="26" t="s">
        <v>43</v>
      </c>
      <c r="G192" s="25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ht="15.75" customHeight="1">
      <c r="A193" s="26">
        <v>10.0</v>
      </c>
      <c r="B193" s="26" t="s">
        <v>40</v>
      </c>
      <c r="C193" s="63">
        <v>0.745</v>
      </c>
      <c r="D193" s="34">
        <f t="shared" si="5"/>
        <v>208.6</v>
      </c>
      <c r="E193" s="34"/>
      <c r="F193" s="26" t="s">
        <v>43</v>
      </c>
      <c r="G193" s="25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ht="15.75" customHeight="1">
      <c r="A194" s="26">
        <v>11.0</v>
      </c>
      <c r="B194" s="26" t="s">
        <v>40</v>
      </c>
      <c r="C194" s="63">
        <v>0.825</v>
      </c>
      <c r="D194" s="34">
        <f t="shared" si="5"/>
        <v>231</v>
      </c>
      <c r="E194" s="34"/>
      <c r="F194" s="26" t="s">
        <v>43</v>
      </c>
      <c r="G194" s="25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ht="15.75" customHeight="1">
      <c r="A195" s="26">
        <v>12.0</v>
      </c>
      <c r="B195" s="26" t="s">
        <v>40</v>
      </c>
      <c r="C195" s="63">
        <v>0.835</v>
      </c>
      <c r="D195" s="34">
        <f t="shared" si="5"/>
        <v>233.8</v>
      </c>
      <c r="E195" s="34"/>
      <c r="F195" s="26" t="s">
        <v>43</v>
      </c>
      <c r="G195" s="25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ht="15.75" customHeight="1">
      <c r="A196" s="26">
        <v>13.0</v>
      </c>
      <c r="B196" s="26" t="s">
        <v>40</v>
      </c>
      <c r="C196" s="63">
        <v>0.74</v>
      </c>
      <c r="D196" s="34">
        <f t="shared" si="5"/>
        <v>207.2</v>
      </c>
      <c r="E196" s="34"/>
      <c r="F196" s="26" t="s">
        <v>43</v>
      </c>
      <c r="G196" s="25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ht="15.75" customHeight="1">
      <c r="A197" s="26">
        <v>14.0</v>
      </c>
      <c r="B197" s="26" t="s">
        <v>40</v>
      </c>
      <c r="C197" s="63">
        <v>0.795</v>
      </c>
      <c r="D197" s="34">
        <f t="shared" si="5"/>
        <v>222.6</v>
      </c>
      <c r="E197" s="34"/>
      <c r="F197" s="26" t="s">
        <v>43</v>
      </c>
      <c r="G197" s="25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ht="15.75" customHeight="1">
      <c r="A198" s="26">
        <v>15.0</v>
      </c>
      <c r="B198" s="26" t="s">
        <v>40</v>
      </c>
      <c r="C198" s="64">
        <v>0.82</v>
      </c>
      <c r="D198" s="34">
        <f t="shared" si="5"/>
        <v>229.6</v>
      </c>
      <c r="E198" s="34"/>
      <c r="F198" s="11" t="s">
        <v>43</v>
      </c>
      <c r="G198" s="25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ht="15.75" customHeight="1">
      <c r="A199" s="26">
        <v>16.0</v>
      </c>
      <c r="B199" s="26" t="s">
        <v>40</v>
      </c>
      <c r="C199" s="64">
        <v>0.795</v>
      </c>
      <c r="D199" s="34">
        <f t="shared" si="5"/>
        <v>222.6</v>
      </c>
      <c r="E199" s="34"/>
      <c r="F199" s="11" t="s">
        <v>43</v>
      </c>
      <c r="G199" s="25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ht="15.75" customHeight="1">
      <c r="A200" s="26">
        <v>17.0</v>
      </c>
      <c r="B200" s="26" t="s">
        <v>40</v>
      </c>
      <c r="C200" s="65">
        <v>0.87</v>
      </c>
      <c r="D200" s="34">
        <f t="shared" si="5"/>
        <v>243.6</v>
      </c>
      <c r="E200" s="34"/>
      <c r="F200" s="11" t="s">
        <v>43</v>
      </c>
      <c r="G200" s="25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ht="15.75" customHeight="1">
      <c r="A201" s="26">
        <v>18.0</v>
      </c>
      <c r="B201" s="26" t="s">
        <v>40</v>
      </c>
      <c r="C201" s="64">
        <v>0.92</v>
      </c>
      <c r="D201" s="34">
        <f t="shared" si="5"/>
        <v>257.6</v>
      </c>
      <c r="E201" s="34"/>
      <c r="F201" s="11" t="s">
        <v>43</v>
      </c>
      <c r="G201" s="25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ht="15.75" customHeight="1">
      <c r="A202" s="26">
        <v>21.0</v>
      </c>
      <c r="B202" s="26" t="s">
        <v>40</v>
      </c>
      <c r="C202" s="64">
        <v>0.825</v>
      </c>
      <c r="D202" s="34">
        <f t="shared" si="5"/>
        <v>231</v>
      </c>
      <c r="E202" s="34"/>
      <c r="F202" s="11" t="s">
        <v>43</v>
      </c>
      <c r="G202" s="25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ht="15.75" customHeight="1">
      <c r="A203" s="26">
        <v>22.0</v>
      </c>
      <c r="B203" s="26" t="s">
        <v>40</v>
      </c>
      <c r="C203" s="55">
        <v>0.83</v>
      </c>
      <c r="D203" s="34">
        <f t="shared" si="5"/>
        <v>232.4</v>
      </c>
      <c r="E203" s="34"/>
      <c r="F203" s="11" t="s">
        <v>43</v>
      </c>
      <c r="G203" s="25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ht="15.75" customHeight="1">
      <c r="A204" s="26">
        <v>23.0</v>
      </c>
      <c r="B204" s="26" t="s">
        <v>40</v>
      </c>
      <c r="C204" s="64">
        <v>0.785</v>
      </c>
      <c r="D204" s="34">
        <f t="shared" si="5"/>
        <v>219.8</v>
      </c>
      <c r="E204" s="34"/>
      <c r="F204" s="11" t="s">
        <v>43</v>
      </c>
      <c r="G204" s="25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ht="15.75" customHeight="1">
      <c r="A205" s="26">
        <v>24.0</v>
      </c>
      <c r="B205" s="26" t="s">
        <v>40</v>
      </c>
      <c r="C205" s="64">
        <v>0.8</v>
      </c>
      <c r="D205" s="34">
        <f t="shared" si="5"/>
        <v>224</v>
      </c>
      <c r="E205" s="34"/>
      <c r="F205" s="11" t="s">
        <v>43</v>
      </c>
      <c r="G205" s="25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ht="15.75" customHeight="1">
      <c r="A206" s="26">
        <v>25.0</v>
      </c>
      <c r="B206" s="26" t="s">
        <v>40</v>
      </c>
      <c r="C206" s="64">
        <v>0.815</v>
      </c>
      <c r="D206" s="34">
        <f t="shared" si="5"/>
        <v>228.2</v>
      </c>
      <c r="E206" s="34"/>
      <c r="F206" s="11" t="s">
        <v>43</v>
      </c>
      <c r="G206" s="25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ht="15.75" customHeight="1">
      <c r="A207" s="26">
        <v>26.0</v>
      </c>
      <c r="B207" s="26" t="s">
        <v>40</v>
      </c>
      <c r="C207" s="64">
        <v>0.86</v>
      </c>
      <c r="D207" s="34">
        <f t="shared" si="5"/>
        <v>240.8</v>
      </c>
      <c r="E207" s="34"/>
      <c r="F207" s="11" t="s">
        <v>43</v>
      </c>
      <c r="G207" s="25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ht="15.75" customHeight="1">
      <c r="A208" s="26">
        <v>27.0</v>
      </c>
      <c r="B208" s="26" t="s">
        <v>40</v>
      </c>
      <c r="C208" s="64">
        <v>0.85</v>
      </c>
      <c r="D208" s="34">
        <f t="shared" si="5"/>
        <v>238</v>
      </c>
      <c r="E208" s="32"/>
      <c r="F208" s="11" t="s">
        <v>43</v>
      </c>
      <c r="G208" s="25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ht="15.75" customHeight="1">
      <c r="A209" s="26">
        <v>28.0</v>
      </c>
      <c r="B209" s="26" t="s">
        <v>40</v>
      </c>
      <c r="C209" s="64">
        <v>0.835</v>
      </c>
      <c r="D209" s="34">
        <f t="shared" si="5"/>
        <v>233.8</v>
      </c>
      <c r="E209" s="34"/>
      <c r="F209" s="11" t="s">
        <v>43</v>
      </c>
      <c r="G209" s="25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ht="15.75" customHeight="1">
      <c r="A210" s="26">
        <v>29.0</v>
      </c>
      <c r="B210" s="26" t="s">
        <v>40</v>
      </c>
      <c r="C210" s="64">
        <v>0.72</v>
      </c>
      <c r="D210" s="34">
        <f t="shared" si="5"/>
        <v>201.6</v>
      </c>
      <c r="E210" s="34"/>
      <c r="F210" s="11" t="s">
        <v>43</v>
      </c>
      <c r="G210" s="25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ht="15.75" customHeight="1">
      <c r="A211" s="26">
        <v>31.0</v>
      </c>
      <c r="B211" s="26" t="s">
        <v>40</v>
      </c>
      <c r="C211" s="64">
        <v>0.78</v>
      </c>
      <c r="D211" s="34">
        <f t="shared" si="5"/>
        <v>218.4</v>
      </c>
      <c r="E211" s="34"/>
      <c r="F211" s="11" t="s">
        <v>43</v>
      </c>
      <c r="G211" s="25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ht="15.75" customHeight="1">
      <c r="A212" s="26">
        <v>32.0</v>
      </c>
      <c r="B212" s="26" t="s">
        <v>40</v>
      </c>
      <c r="C212" s="64">
        <v>0.77</v>
      </c>
      <c r="D212" s="34">
        <f t="shared" si="5"/>
        <v>215.6</v>
      </c>
      <c r="E212" s="34"/>
      <c r="F212" s="11" t="s">
        <v>43</v>
      </c>
      <c r="G212" s="25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ht="15.75" customHeight="1">
      <c r="A213" s="23" t="s">
        <v>13</v>
      </c>
      <c r="B213" s="23" t="s">
        <v>2</v>
      </c>
      <c r="C213" s="23" t="s">
        <v>3</v>
      </c>
      <c r="D213" s="46" t="s">
        <v>4</v>
      </c>
      <c r="E213" s="46" t="s">
        <v>5</v>
      </c>
      <c r="F213" s="24" t="s">
        <v>6</v>
      </c>
      <c r="G213" s="25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ht="15.75" customHeight="1">
      <c r="A214" s="26">
        <v>15.0</v>
      </c>
      <c r="B214" s="26" t="s">
        <v>42</v>
      </c>
      <c r="C214" s="27">
        <v>0.5</v>
      </c>
      <c r="D214" s="32"/>
      <c r="E214" s="26" t="s">
        <v>269</v>
      </c>
      <c r="F214" s="26" t="s">
        <v>17</v>
      </c>
      <c r="G214" s="25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ht="15.75" customHeight="1">
      <c r="A215" s="26">
        <v>16.0</v>
      </c>
      <c r="B215" s="26" t="s">
        <v>42</v>
      </c>
      <c r="C215" s="27">
        <v>0.5</v>
      </c>
      <c r="D215" s="34"/>
      <c r="E215" s="31" t="s">
        <v>269</v>
      </c>
      <c r="F215" s="26" t="s">
        <v>17</v>
      </c>
      <c r="G215" s="25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ht="15.75" customHeight="1">
      <c r="A216" s="26">
        <v>24.0</v>
      </c>
      <c r="B216" s="26" t="s">
        <v>42</v>
      </c>
      <c r="C216" s="27">
        <v>0.5</v>
      </c>
      <c r="D216" s="15" t="s">
        <v>270</v>
      </c>
      <c r="E216" s="34"/>
      <c r="F216" s="26" t="s">
        <v>43</v>
      </c>
      <c r="G216" s="25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ht="15.75" customHeight="1">
      <c r="A217" s="26">
        <v>25.0</v>
      </c>
      <c r="B217" s="26" t="s">
        <v>42</v>
      </c>
      <c r="C217" s="27">
        <v>0.5</v>
      </c>
      <c r="D217" s="31" t="s">
        <v>270</v>
      </c>
      <c r="E217" s="34"/>
      <c r="F217" s="26" t="s">
        <v>43</v>
      </c>
      <c r="G217" s="25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ht="15.75" customHeight="1">
      <c r="A218" s="26">
        <v>26.0</v>
      </c>
      <c r="B218" s="26" t="s">
        <v>42</v>
      </c>
      <c r="C218" s="27">
        <v>0.5</v>
      </c>
      <c r="D218" s="31" t="s">
        <v>270</v>
      </c>
      <c r="E218" s="34"/>
      <c r="F218" s="26" t="s">
        <v>43</v>
      </c>
      <c r="G218" s="25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ht="15.75" customHeight="1">
      <c r="A219" s="26">
        <v>27.0</v>
      </c>
      <c r="B219" s="26" t="s">
        <v>42</v>
      </c>
      <c r="C219" s="27">
        <v>0.5</v>
      </c>
      <c r="D219" s="66" t="s">
        <v>270</v>
      </c>
      <c r="E219" s="34"/>
      <c r="F219" s="26" t="s">
        <v>43</v>
      </c>
      <c r="G219" s="25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ht="15.75" customHeight="1">
      <c r="A220" s="26">
        <v>28.0</v>
      </c>
      <c r="B220" s="26" t="s">
        <v>42</v>
      </c>
      <c r="C220" s="27">
        <v>0.5</v>
      </c>
      <c r="D220" s="31" t="s">
        <v>270</v>
      </c>
      <c r="E220" s="34"/>
      <c r="F220" s="26" t="s">
        <v>43</v>
      </c>
      <c r="G220" s="25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ht="15.75" customHeight="1">
      <c r="A221" s="26">
        <v>29.0</v>
      </c>
      <c r="B221" s="26" t="s">
        <v>42</v>
      </c>
      <c r="C221" s="27">
        <v>0.5</v>
      </c>
      <c r="D221" s="31" t="s">
        <v>270</v>
      </c>
      <c r="E221" s="34"/>
      <c r="F221" s="26" t="s">
        <v>43</v>
      </c>
      <c r="G221" s="25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ht="15.75" customHeight="1">
      <c r="A222" s="26">
        <v>30.0</v>
      </c>
      <c r="B222" s="26" t="s">
        <v>42</v>
      </c>
      <c r="C222" s="27">
        <v>0.5</v>
      </c>
      <c r="D222" s="31" t="s">
        <v>270</v>
      </c>
      <c r="E222" s="34"/>
      <c r="F222" s="26" t="s">
        <v>43</v>
      </c>
      <c r="G222" s="25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ht="15.75" customHeight="1">
      <c r="A223" s="26">
        <v>31.0</v>
      </c>
      <c r="B223" s="26" t="s">
        <v>42</v>
      </c>
      <c r="C223" s="27">
        <v>0.5</v>
      </c>
      <c r="D223" s="31" t="s">
        <v>270</v>
      </c>
      <c r="E223" s="34"/>
      <c r="F223" s="26" t="s">
        <v>43</v>
      </c>
      <c r="G223" s="25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ht="15.75" customHeight="1">
      <c r="A224" s="26">
        <v>32.0</v>
      </c>
      <c r="B224" s="26" t="s">
        <v>42</v>
      </c>
      <c r="C224" s="27">
        <v>0.5</v>
      </c>
      <c r="D224" s="31" t="s">
        <v>270</v>
      </c>
      <c r="E224" s="34"/>
      <c r="F224" s="26" t="s">
        <v>43</v>
      </c>
      <c r="G224" s="25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ht="15.75" customHeight="1">
      <c r="A225" s="26">
        <v>33.0</v>
      </c>
      <c r="B225" s="26" t="s">
        <v>42</v>
      </c>
      <c r="C225" s="27">
        <v>0.5</v>
      </c>
      <c r="D225" s="31" t="s">
        <v>270</v>
      </c>
      <c r="E225" s="34"/>
      <c r="F225" s="26" t="s">
        <v>43</v>
      </c>
      <c r="G225" s="25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ht="15.75" customHeight="1">
      <c r="A226" s="26">
        <v>34.0</v>
      </c>
      <c r="B226" s="26" t="s">
        <v>42</v>
      </c>
      <c r="C226" s="27">
        <v>0.5</v>
      </c>
      <c r="D226" s="31" t="s">
        <v>270</v>
      </c>
      <c r="E226" s="34"/>
      <c r="F226" s="26" t="s">
        <v>43</v>
      </c>
      <c r="G226" s="25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ht="15.75" customHeight="1">
      <c r="A227" s="26">
        <v>35.0</v>
      </c>
      <c r="B227" s="26" t="s">
        <v>42</v>
      </c>
      <c r="C227" s="27">
        <v>0.5</v>
      </c>
      <c r="D227" s="31" t="s">
        <v>270</v>
      </c>
      <c r="E227" s="34"/>
      <c r="F227" s="26" t="s">
        <v>43</v>
      </c>
      <c r="G227" s="25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ht="15.75" customHeight="1">
      <c r="A228" s="26">
        <v>36.0</v>
      </c>
      <c r="B228" s="26" t="s">
        <v>42</v>
      </c>
      <c r="C228" s="27">
        <v>0.5</v>
      </c>
      <c r="D228" s="31" t="s">
        <v>270</v>
      </c>
      <c r="E228" s="34"/>
      <c r="F228" s="26" t="s">
        <v>43</v>
      </c>
      <c r="G228" s="25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ht="15.75" customHeight="1">
      <c r="A229" s="26">
        <v>43.0</v>
      </c>
      <c r="B229" s="26" t="s">
        <v>42</v>
      </c>
      <c r="C229" s="27">
        <v>0.5</v>
      </c>
      <c r="D229" s="31" t="s">
        <v>270</v>
      </c>
      <c r="E229" s="34"/>
      <c r="F229" s="26" t="s">
        <v>51</v>
      </c>
      <c r="G229" s="25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ht="15.75" customHeight="1">
      <c r="A230" s="4"/>
      <c r="B230" s="4"/>
      <c r="C230" s="12"/>
      <c r="D230" s="8"/>
      <c r="E230" s="8"/>
      <c r="F230" s="4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ht="15.75" customHeight="1">
      <c r="A231" s="4"/>
      <c r="B231" s="4"/>
      <c r="C231" s="12"/>
      <c r="D231" s="8"/>
      <c r="E231" s="8"/>
      <c r="F231" s="4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ht="15.75" customHeight="1">
      <c r="A232" s="4"/>
      <c r="B232" s="4"/>
      <c r="C232" s="12"/>
      <c r="D232" s="8"/>
      <c r="E232" s="8"/>
      <c r="F232" s="4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ht="15.75" customHeight="1">
      <c r="A233" s="4"/>
      <c r="B233" s="4"/>
      <c r="C233" s="12"/>
      <c r="D233" s="8"/>
      <c r="E233" s="8"/>
      <c r="F233" s="4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ht="15.75" customHeight="1">
      <c r="A234" s="4"/>
      <c r="B234" s="4"/>
      <c r="C234" s="12"/>
      <c r="D234" s="8"/>
      <c r="E234" s="8"/>
      <c r="F234" s="4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ht="15.75" customHeight="1">
      <c r="A235" s="4"/>
      <c r="B235" s="4"/>
      <c r="C235" s="4"/>
      <c r="D235" s="8"/>
      <c r="E235" s="3"/>
      <c r="F235" s="4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ht="15.75" customHeight="1">
      <c r="A236" s="4"/>
      <c r="B236" s="4"/>
      <c r="C236" s="4"/>
      <c r="D236" s="8"/>
      <c r="E236" s="8"/>
      <c r="F236" s="4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ht="15.75" customHeight="1">
      <c r="A237" s="4"/>
      <c r="B237" s="4"/>
      <c r="C237" s="4"/>
      <c r="D237" s="8"/>
      <c r="E237" s="8"/>
      <c r="F237" s="4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ht="15.75" customHeight="1">
      <c r="A238" s="4"/>
      <c r="B238" s="4"/>
      <c r="C238" s="4"/>
      <c r="D238" s="8"/>
      <c r="E238" s="8"/>
      <c r="F238" s="4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ht="15.75" customHeight="1">
      <c r="A239" s="4"/>
      <c r="B239" s="4"/>
      <c r="C239" s="4"/>
      <c r="D239" s="8"/>
      <c r="E239" s="8"/>
      <c r="F239" s="4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ht="15.75" customHeight="1">
      <c r="A240" s="4"/>
      <c r="B240" s="4"/>
      <c r="C240" s="4"/>
      <c r="D240" s="8"/>
      <c r="E240" s="8"/>
      <c r="F240" s="4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ht="15.75" customHeight="1">
      <c r="A241" s="4"/>
      <c r="B241" s="4"/>
      <c r="C241" s="4"/>
      <c r="D241" s="8"/>
      <c r="E241" s="8"/>
      <c r="F241" s="4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ht="15.75" customHeight="1">
      <c r="A242" s="4"/>
      <c r="B242" s="4"/>
      <c r="C242" s="4"/>
      <c r="D242" s="8"/>
      <c r="E242" s="8"/>
      <c r="F242" s="4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ht="15.75" customHeight="1">
      <c r="A243" s="4"/>
      <c r="B243" s="4"/>
      <c r="C243" s="4"/>
      <c r="D243" s="8"/>
      <c r="E243" s="8"/>
      <c r="F243" s="4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ht="15.75" customHeight="1">
      <c r="A244" s="5"/>
      <c r="B244" s="5"/>
      <c r="C244" s="5"/>
      <c r="D244" s="5"/>
      <c r="E244" s="5"/>
      <c r="F244" s="6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ht="15.75" customHeight="1">
      <c r="A245" s="4"/>
      <c r="B245" s="4"/>
      <c r="C245" s="67"/>
      <c r="D245" s="9"/>
      <c r="E245" s="9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ht="15.75" customHeight="1">
      <c r="A246" s="4"/>
      <c r="B246" s="4"/>
      <c r="C246" s="67"/>
      <c r="D246" s="9"/>
      <c r="E246" s="9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ht="15.75" customHeight="1">
      <c r="A247" s="4"/>
      <c r="B247" s="4"/>
      <c r="C247" s="67"/>
      <c r="D247" s="9"/>
      <c r="E247" s="9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ht="15.75" customHeight="1">
      <c r="A248" s="4"/>
      <c r="B248" s="4"/>
      <c r="C248" s="67"/>
      <c r="D248" s="9"/>
      <c r="E248" s="9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ht="15.75" customHeight="1">
      <c r="A249" s="4"/>
      <c r="B249" s="4"/>
      <c r="C249" s="67"/>
      <c r="D249" s="9"/>
      <c r="E249" s="9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ht="15.75" customHeight="1">
      <c r="A250" s="4"/>
      <c r="B250" s="4"/>
      <c r="C250" s="67"/>
      <c r="D250" s="9"/>
      <c r="E250" s="9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ht="15.75" customHeight="1">
      <c r="A251" s="4"/>
      <c r="B251" s="4"/>
      <c r="C251" s="67"/>
      <c r="D251" s="9"/>
      <c r="E251" s="9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ht="15.75" customHeight="1">
      <c r="A252" s="4"/>
      <c r="B252" s="4"/>
      <c r="C252" s="12"/>
      <c r="D252" s="9"/>
      <c r="E252" s="9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ht="15.75" customHeight="1">
      <c r="A253" s="4"/>
      <c r="B253" s="4"/>
      <c r="C253" s="12"/>
      <c r="D253" s="9"/>
      <c r="E253" s="9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ht="15.75" customHeight="1">
      <c r="A254" s="4"/>
      <c r="B254" s="4"/>
      <c r="C254" s="12"/>
      <c r="D254" s="9"/>
      <c r="E254" s="9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ht="15.75" customHeight="1">
      <c r="A255" s="4"/>
      <c r="B255" s="4"/>
      <c r="C255" s="12"/>
      <c r="D255" s="9"/>
      <c r="E255" s="9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ht="15.75" customHeight="1">
      <c r="A256" s="4"/>
      <c r="B256" s="4"/>
      <c r="C256" s="12"/>
      <c r="D256" s="9"/>
      <c r="E256" s="9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ht="15.75" customHeight="1">
      <c r="A257" s="4"/>
      <c r="B257" s="4"/>
      <c r="C257" s="12"/>
      <c r="D257" s="9"/>
      <c r="E257" s="9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ht="15.75" customHeight="1">
      <c r="A258" s="4"/>
      <c r="B258" s="4"/>
      <c r="C258" s="12"/>
      <c r="D258" s="9"/>
      <c r="E258" s="9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ht="15.75" customHeight="1">
      <c r="A259" s="4"/>
      <c r="B259" s="4"/>
      <c r="C259" s="68"/>
      <c r="D259" s="9"/>
      <c r="E259" s="9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ht="15.75" customHeight="1">
      <c r="A260" s="4"/>
      <c r="B260" s="4"/>
      <c r="C260" s="68"/>
      <c r="D260" s="3"/>
      <c r="E260" s="9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ht="15.75" customHeight="1">
      <c r="A261" s="4"/>
      <c r="B261" s="4"/>
      <c r="C261" s="68"/>
      <c r="D261" s="3"/>
      <c r="E261" s="9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ht="15.75" customHeight="1">
      <c r="A262" s="4"/>
      <c r="B262" s="4"/>
      <c r="C262" s="68"/>
      <c r="D262" s="3"/>
      <c r="E262" s="9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ht="15.75" customHeight="1">
      <c r="A263" s="4"/>
      <c r="B263" s="4"/>
      <c r="C263" s="68"/>
      <c r="D263" s="3"/>
      <c r="E263" s="9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ht="15.75" customHeight="1">
      <c r="A264" s="4"/>
      <c r="B264" s="4"/>
      <c r="C264" s="68"/>
      <c r="D264" s="3"/>
      <c r="E264" s="9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ht="15.75" customHeight="1">
      <c r="A265" s="4"/>
      <c r="B265" s="4"/>
      <c r="C265" s="68"/>
      <c r="D265" s="3"/>
      <c r="E265" s="9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ht="15.75" customHeight="1">
      <c r="A266" s="4"/>
      <c r="B266" s="4"/>
      <c r="C266" s="68"/>
      <c r="D266" s="3"/>
      <c r="E266" s="9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ht="15.75" customHeight="1">
      <c r="A267" s="4"/>
      <c r="B267" s="4"/>
      <c r="C267" s="68"/>
      <c r="D267" s="3"/>
      <c r="E267" s="9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ht="15.75" customHeight="1">
      <c r="A268" s="4"/>
      <c r="B268" s="4"/>
      <c r="C268" s="68"/>
      <c r="D268" s="3"/>
      <c r="E268" s="9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ht="15.75" customHeight="1">
      <c r="A269" s="4"/>
      <c r="B269" s="4"/>
      <c r="C269" s="68"/>
      <c r="D269" s="3"/>
      <c r="E269" s="9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ht="15.75" customHeight="1">
      <c r="A270" s="4"/>
      <c r="B270" s="4"/>
      <c r="C270" s="68"/>
      <c r="D270" s="3"/>
      <c r="E270" s="9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ht="15.75" customHeight="1">
      <c r="A271" s="4"/>
      <c r="B271" s="4"/>
      <c r="C271" s="68"/>
      <c r="D271" s="3"/>
      <c r="E271" s="9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ht="15.75" customHeight="1">
      <c r="A272" s="4"/>
      <c r="B272" s="4"/>
      <c r="C272" s="68"/>
      <c r="D272" s="3"/>
      <c r="E272" s="9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ht="15.75" customHeight="1">
      <c r="A273" s="4"/>
      <c r="B273" s="4"/>
      <c r="C273" s="4"/>
      <c r="D273" s="9"/>
      <c r="E273" s="9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ht="15.75" customHeight="1">
      <c r="A274" s="4"/>
      <c r="B274" s="4"/>
      <c r="C274" s="4"/>
      <c r="D274" s="9"/>
      <c r="E274" s="9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ht="15.75" customHeight="1">
      <c r="A275" s="4"/>
      <c r="B275" s="4"/>
      <c r="C275" s="4"/>
      <c r="D275" s="9"/>
      <c r="E275" s="9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ht="15.75" customHeight="1">
      <c r="A276" s="4"/>
      <c r="B276" s="4"/>
      <c r="C276" s="4"/>
      <c r="D276" s="9"/>
      <c r="E276" s="9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ht="15.75" customHeight="1">
      <c r="A277" s="5"/>
      <c r="B277" s="5"/>
      <c r="C277" s="5"/>
      <c r="D277" s="5"/>
      <c r="E277" s="5"/>
      <c r="F277" s="6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ht="15.75" customHeight="1">
      <c r="A278" s="4"/>
      <c r="B278" s="4"/>
      <c r="C278" s="4"/>
      <c r="D278" s="8"/>
      <c r="E278" s="8"/>
      <c r="F278" s="4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ht="15.75" customHeight="1">
      <c r="A279" s="4"/>
      <c r="B279" s="4"/>
      <c r="C279" s="4"/>
      <c r="D279" s="8"/>
      <c r="E279" s="8"/>
      <c r="F279" s="4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ht="15.75" customHeight="1">
      <c r="A280" s="4"/>
      <c r="B280" s="4"/>
      <c r="C280" s="4"/>
      <c r="D280" s="8"/>
      <c r="E280" s="8"/>
      <c r="F280" s="4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ht="15.75" customHeight="1">
      <c r="A281" s="4"/>
      <c r="B281" s="4"/>
      <c r="C281" s="4"/>
      <c r="D281" s="8"/>
      <c r="E281" s="8"/>
      <c r="F281" s="4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ht="15.75" customHeight="1">
      <c r="A282" s="4"/>
      <c r="B282" s="4"/>
      <c r="C282" s="4"/>
      <c r="D282" s="8"/>
      <c r="E282" s="8"/>
      <c r="F282" s="4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ht="15.75" customHeight="1">
      <c r="A283" s="4"/>
      <c r="B283" s="4"/>
      <c r="C283" s="4"/>
      <c r="D283" s="8"/>
      <c r="E283" s="8"/>
      <c r="F283" s="4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ht="15.75" customHeight="1">
      <c r="A284" s="4"/>
      <c r="B284" s="4"/>
      <c r="C284" s="4"/>
      <c r="D284" s="8"/>
      <c r="E284" s="8"/>
      <c r="F284" s="4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ht="15.75" customHeight="1">
      <c r="A285" s="4"/>
      <c r="B285" s="4"/>
      <c r="C285" s="12"/>
      <c r="D285" s="8"/>
      <c r="E285" s="8"/>
      <c r="F285" s="4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ht="15.75" customHeight="1">
      <c r="A286" s="4"/>
      <c r="B286" s="4"/>
      <c r="C286" s="12"/>
      <c r="D286" s="8"/>
      <c r="E286" s="8"/>
      <c r="F286" s="4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ht="15.75" customHeight="1">
      <c r="A287" s="4"/>
      <c r="B287" s="4"/>
      <c r="C287" s="4"/>
      <c r="D287" s="8"/>
      <c r="E287" s="8"/>
      <c r="F287" s="4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ht="15.75" customHeight="1">
      <c r="A288" s="4"/>
      <c r="B288" s="4"/>
      <c r="C288" s="4"/>
      <c r="D288" s="8"/>
      <c r="E288" s="8"/>
      <c r="F288" s="4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ht="15.75" customHeight="1">
      <c r="A289" s="4"/>
      <c r="B289" s="4"/>
      <c r="C289" s="67"/>
      <c r="D289" s="8"/>
      <c r="E289" s="8"/>
      <c r="F289" s="4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ht="15.75" customHeight="1">
      <c r="A290" s="4"/>
      <c r="B290" s="4"/>
      <c r="C290" s="12"/>
      <c r="D290" s="8"/>
      <c r="E290" s="8"/>
      <c r="F290" s="4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ht="15.75" customHeight="1">
      <c r="A291" s="4"/>
      <c r="B291" s="4"/>
      <c r="C291" s="12"/>
      <c r="D291" s="8"/>
      <c r="E291" s="8"/>
      <c r="F291" s="4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ht="15.75" customHeight="1">
      <c r="A292" s="4"/>
      <c r="B292" s="4"/>
      <c r="C292" s="67"/>
      <c r="D292" s="8"/>
      <c r="E292" s="8"/>
      <c r="F292" s="4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ht="15.75" customHeight="1">
      <c r="A293" s="4"/>
      <c r="B293" s="4"/>
      <c r="C293" s="4"/>
      <c r="D293" s="8"/>
      <c r="E293" s="8"/>
      <c r="F293" s="4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ht="15.75" customHeight="1">
      <c r="A294" s="4"/>
      <c r="B294" s="4"/>
      <c r="C294" s="67"/>
      <c r="D294" s="8"/>
      <c r="E294" s="8"/>
      <c r="F294" s="4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ht="15.75" customHeight="1">
      <c r="A295" s="4"/>
      <c r="B295" s="4"/>
      <c r="C295" s="12"/>
      <c r="D295" s="8"/>
      <c r="E295" s="8"/>
      <c r="F295" s="4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ht="15.75" customHeight="1">
      <c r="A296" s="4"/>
      <c r="B296" s="4"/>
      <c r="C296" s="4"/>
      <c r="D296" s="8"/>
      <c r="E296" s="8"/>
      <c r="F296" s="4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ht="15.75" customHeight="1">
      <c r="A297" s="4"/>
      <c r="B297" s="4"/>
      <c r="C297" s="4"/>
      <c r="D297" s="8"/>
      <c r="E297" s="8"/>
      <c r="F297" s="4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ht="15.75" customHeight="1">
      <c r="A298" s="4"/>
      <c r="B298" s="4"/>
      <c r="C298" s="4"/>
      <c r="D298" s="8"/>
      <c r="E298" s="8"/>
      <c r="F298" s="4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ht="15.75" customHeight="1">
      <c r="A299" s="4"/>
      <c r="B299" s="4"/>
      <c r="C299" s="4"/>
      <c r="D299" s="8"/>
      <c r="E299" s="8"/>
      <c r="F299" s="4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ht="15.75" customHeight="1">
      <c r="A300" s="4"/>
      <c r="B300" s="4"/>
      <c r="C300" s="12"/>
      <c r="D300" s="8"/>
      <c r="E300" s="8"/>
      <c r="F300" s="4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ht="15.75" customHeight="1">
      <c r="A301" s="4"/>
      <c r="B301" s="4"/>
      <c r="C301" s="67"/>
      <c r="D301" s="8"/>
      <c r="E301" s="8"/>
      <c r="F301" s="4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ht="15.75" customHeight="1">
      <c r="A302" s="4"/>
      <c r="B302" s="4"/>
      <c r="C302" s="12"/>
      <c r="D302" s="8"/>
      <c r="E302" s="8"/>
      <c r="F302" s="4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ht="15.75" customHeight="1">
      <c r="A303" s="4"/>
      <c r="B303" s="4"/>
      <c r="C303" s="4"/>
      <c r="D303" s="8"/>
      <c r="E303" s="8"/>
      <c r="F303" s="4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ht="15.75" customHeight="1">
      <c r="A304" s="4"/>
      <c r="B304" s="4"/>
      <c r="C304" s="12"/>
      <c r="D304" s="8"/>
      <c r="E304" s="8"/>
      <c r="F304" s="4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ht="15.75" customHeight="1">
      <c r="A305" s="4"/>
      <c r="B305" s="4"/>
      <c r="C305" s="4"/>
      <c r="D305" s="8"/>
      <c r="E305" s="8"/>
      <c r="F305" s="4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ht="15.75" customHeight="1">
      <c r="A306" s="4"/>
      <c r="B306" s="4"/>
      <c r="C306" s="4"/>
      <c r="D306" s="8"/>
      <c r="E306" s="8"/>
      <c r="F306" s="4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ht="15.75" customHeight="1">
      <c r="A307" s="4"/>
      <c r="B307" s="4"/>
      <c r="C307" s="67"/>
      <c r="D307" s="8"/>
      <c r="E307" s="8"/>
      <c r="F307" s="67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ht="15.75" customHeight="1">
      <c r="A308" s="5"/>
      <c r="B308" s="5"/>
      <c r="C308" s="5"/>
      <c r="D308" s="5"/>
      <c r="E308" s="5"/>
      <c r="F308" s="6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ht="15.75" customHeight="1">
      <c r="A309" s="4"/>
      <c r="B309" s="4"/>
      <c r="C309" s="4"/>
      <c r="D309" s="8"/>
      <c r="E309" s="8"/>
      <c r="F309" s="4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ht="15.75" customHeight="1">
      <c r="A310" s="4"/>
      <c r="B310" s="4"/>
      <c r="C310" s="4"/>
      <c r="D310" s="8"/>
      <c r="E310" s="8"/>
      <c r="F310" s="4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ht="15.75" customHeight="1">
      <c r="A311" s="4"/>
      <c r="B311" s="4"/>
      <c r="C311" s="4"/>
      <c r="D311" s="8"/>
      <c r="E311" s="8"/>
      <c r="F311" s="4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ht="15.75" customHeight="1">
      <c r="A312" s="4"/>
      <c r="B312" s="4"/>
      <c r="C312" s="12"/>
      <c r="D312" s="8"/>
      <c r="E312" s="8"/>
      <c r="F312" s="4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ht="15.75" customHeight="1">
      <c r="A313" s="4"/>
      <c r="B313" s="4"/>
      <c r="C313" s="12"/>
      <c r="D313" s="8"/>
      <c r="E313" s="8"/>
      <c r="F313" s="4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ht="15.75" customHeight="1">
      <c r="A314" s="5"/>
      <c r="B314" s="5"/>
      <c r="C314" s="5"/>
      <c r="D314" s="5"/>
      <c r="E314" s="5"/>
      <c r="F314" s="6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ht="15.75" customHeight="1">
      <c r="A315" s="4"/>
      <c r="B315" s="4"/>
      <c r="C315" s="67"/>
      <c r="D315" s="8"/>
      <c r="E315" s="8"/>
      <c r="F315" s="4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ht="15.75" customHeight="1">
      <c r="A316" s="4"/>
      <c r="B316" s="4"/>
      <c r="C316" s="67"/>
      <c r="D316" s="8"/>
      <c r="E316" s="8"/>
      <c r="F316" s="4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ht="15.75" customHeight="1">
      <c r="A317" s="4"/>
      <c r="B317" s="4"/>
      <c r="C317" s="67"/>
      <c r="D317" s="8"/>
      <c r="E317" s="8"/>
      <c r="F317" s="4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ht="15.75" customHeight="1">
      <c r="A318" s="4"/>
      <c r="B318" s="4"/>
      <c r="C318" s="67"/>
      <c r="D318" s="8"/>
      <c r="E318" s="8"/>
      <c r="F318" s="4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ht="15.75" customHeight="1">
      <c r="A319" s="4"/>
      <c r="B319" s="4"/>
      <c r="C319" s="67"/>
      <c r="D319" s="8"/>
      <c r="E319" s="8"/>
      <c r="F319" s="4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ht="15.75" customHeight="1">
      <c r="A320" s="4"/>
      <c r="B320" s="4"/>
      <c r="C320" s="67"/>
      <c r="D320" s="8"/>
      <c r="E320" s="8"/>
      <c r="F320" s="4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ht="15.75" customHeight="1">
      <c r="A321" s="4"/>
      <c r="B321" s="4"/>
      <c r="C321" s="67"/>
      <c r="D321" s="8"/>
      <c r="E321" s="8"/>
      <c r="F321" s="4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ht="15.75" customHeight="1">
      <c r="A322" s="4"/>
      <c r="B322" s="4"/>
      <c r="C322" s="67"/>
      <c r="D322" s="8"/>
      <c r="E322" s="8"/>
      <c r="F322" s="4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ht="15.75" customHeight="1">
      <c r="A323" s="4"/>
      <c r="B323" s="4"/>
      <c r="C323" s="67"/>
      <c r="D323" s="8"/>
      <c r="E323" s="8"/>
      <c r="F323" s="4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ht="15.75" customHeight="1">
      <c r="A324" s="4"/>
      <c r="B324" s="4"/>
      <c r="C324" s="67"/>
      <c r="D324" s="8"/>
      <c r="E324" s="8"/>
      <c r="F324" s="4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ht="15.75" customHeight="1">
      <c r="A325" s="4"/>
      <c r="B325" s="4"/>
      <c r="C325" s="12"/>
      <c r="D325" s="8"/>
      <c r="E325" s="8"/>
      <c r="F325" s="4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ht="15.75" customHeight="1">
      <c r="A326" s="4"/>
      <c r="B326" s="4"/>
      <c r="C326" s="12"/>
      <c r="D326" s="8"/>
      <c r="E326" s="8"/>
      <c r="F326" s="4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ht="15.75" customHeight="1">
      <c r="A327" s="4"/>
      <c r="B327" s="4"/>
      <c r="C327" s="12"/>
      <c r="D327" s="8"/>
      <c r="E327" s="8"/>
      <c r="F327" s="4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ht="15.75" customHeight="1">
      <c r="A328" s="4"/>
      <c r="B328" s="4"/>
      <c r="C328" s="12"/>
      <c r="D328" s="8"/>
      <c r="E328" s="8"/>
      <c r="F328" s="4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ht="15.75" customHeight="1">
      <c r="A329" s="4"/>
      <c r="B329" s="4"/>
      <c r="C329" s="12"/>
      <c r="D329" s="8"/>
      <c r="E329" s="8"/>
      <c r="F329" s="4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ht="15.75" customHeight="1">
      <c r="A330" s="4"/>
      <c r="B330" s="4"/>
      <c r="C330" s="4"/>
      <c r="D330" s="8"/>
      <c r="E330" s="8"/>
      <c r="F330" s="4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ht="15.75" customHeight="1">
      <c r="A331" s="4"/>
      <c r="B331" s="4"/>
      <c r="C331" s="12"/>
      <c r="D331" s="8"/>
      <c r="E331" s="8"/>
      <c r="F331" s="4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ht="15.75" customHeight="1">
      <c r="A332" s="4"/>
      <c r="B332" s="4"/>
      <c r="C332" s="12"/>
      <c r="D332" s="8"/>
      <c r="E332" s="3"/>
      <c r="F332" s="4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ht="15.75" customHeight="1">
      <c r="A333" s="4"/>
      <c r="B333" s="4"/>
      <c r="C333" s="12"/>
      <c r="D333" s="8"/>
      <c r="E333" s="8"/>
      <c r="F333" s="4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ht="15.75" customHeight="1">
      <c r="A334" s="4"/>
      <c r="B334" s="4"/>
      <c r="C334" s="12"/>
      <c r="D334" s="8"/>
      <c r="E334" s="3"/>
      <c r="F334" s="4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ht="15.75" customHeight="1">
      <c r="A335" s="4"/>
      <c r="B335" s="4"/>
      <c r="C335" s="4"/>
      <c r="D335" s="8"/>
      <c r="E335" s="8"/>
      <c r="F335" s="4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ht="15.75" customHeight="1">
      <c r="A336" s="4"/>
      <c r="B336" s="4"/>
      <c r="C336" s="4"/>
      <c r="D336" s="8"/>
      <c r="E336" s="8"/>
      <c r="F336" s="4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ht="15.75" customHeight="1">
      <c r="A337" s="4"/>
      <c r="B337" s="4"/>
      <c r="C337" s="4"/>
      <c r="D337" s="8"/>
      <c r="E337" s="8"/>
      <c r="F337" s="4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ht="15.75" customHeight="1">
      <c r="A338" s="4"/>
      <c r="B338" s="4"/>
      <c r="C338" s="4"/>
      <c r="D338" s="8"/>
      <c r="E338" s="8"/>
      <c r="F338" s="4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ht="15.75" customHeight="1">
      <c r="A339" s="4"/>
      <c r="B339" s="4"/>
      <c r="C339" s="4"/>
      <c r="D339" s="8"/>
      <c r="E339" s="8"/>
      <c r="F339" s="4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ht="15.75" customHeight="1">
      <c r="A340" s="4"/>
      <c r="B340" s="4"/>
      <c r="C340" s="4"/>
      <c r="D340" s="8"/>
      <c r="E340" s="8"/>
      <c r="F340" s="4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ht="15.75" customHeight="1">
      <c r="A341" s="4"/>
      <c r="B341" s="4"/>
      <c r="C341" s="4"/>
      <c r="D341" s="8"/>
      <c r="E341" s="8"/>
      <c r="F341" s="4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ht="15.75" customHeight="1">
      <c r="A342" s="4"/>
      <c r="B342" s="4"/>
      <c r="C342" s="4"/>
      <c r="D342" s="8"/>
      <c r="E342" s="8"/>
      <c r="F342" s="4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ht="15.75" customHeight="1">
      <c r="A343" s="4"/>
      <c r="B343" s="4"/>
      <c r="C343" s="4"/>
      <c r="D343" s="8"/>
      <c r="E343" s="8"/>
      <c r="F343" s="4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ht="15.75" customHeight="1">
      <c r="A344" s="5"/>
      <c r="B344" s="5"/>
      <c r="C344" s="5"/>
      <c r="D344" s="5"/>
      <c r="E344" s="5"/>
      <c r="F344" s="6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ht="15.75" customHeight="1">
      <c r="A345" s="4"/>
      <c r="B345" s="4"/>
      <c r="C345" s="67"/>
      <c r="D345" s="8"/>
      <c r="E345" s="8"/>
      <c r="F345" s="4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ht="15.75" customHeight="1">
      <c r="A346" s="4"/>
      <c r="B346" s="4"/>
      <c r="C346" s="67"/>
      <c r="D346" s="8"/>
      <c r="E346" s="8"/>
      <c r="F346" s="4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ht="15.75" customHeight="1">
      <c r="A347" s="4"/>
      <c r="B347" s="4"/>
      <c r="C347" s="67"/>
      <c r="D347" s="8"/>
      <c r="E347" s="8"/>
      <c r="F347" s="4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ht="15.75" customHeight="1">
      <c r="A348" s="4"/>
      <c r="B348" s="4"/>
      <c r="C348" s="67"/>
      <c r="D348" s="8"/>
      <c r="E348" s="8"/>
      <c r="F348" s="4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ht="15.75" customHeight="1">
      <c r="A349" s="4"/>
      <c r="B349" s="4"/>
      <c r="C349" s="67"/>
      <c r="D349" s="8"/>
      <c r="E349" s="8"/>
      <c r="F349" s="4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ht="15.75" customHeight="1">
      <c r="A350" s="4"/>
      <c r="B350" s="4"/>
      <c r="C350" s="67"/>
      <c r="D350" s="8"/>
      <c r="E350" s="8"/>
      <c r="F350" s="4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ht="15.75" customHeight="1">
      <c r="A351" s="4"/>
      <c r="B351" s="4"/>
      <c r="C351" s="67"/>
      <c r="D351" s="8"/>
      <c r="E351" s="8"/>
      <c r="F351" s="4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ht="15.75" customHeight="1">
      <c r="A352" s="4"/>
      <c r="B352" s="4"/>
      <c r="C352" s="12"/>
      <c r="D352" s="8"/>
      <c r="E352" s="8"/>
      <c r="F352" s="4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ht="15.75" customHeight="1">
      <c r="A353" s="4"/>
      <c r="B353" s="4"/>
      <c r="C353" s="12"/>
      <c r="D353" s="8"/>
      <c r="E353" s="8"/>
      <c r="F353" s="4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ht="15.75" customHeight="1">
      <c r="A354" s="4"/>
      <c r="B354" s="4"/>
      <c r="C354" s="12"/>
      <c r="D354" s="8"/>
      <c r="E354" s="8"/>
      <c r="F354" s="4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ht="15.75" customHeight="1">
      <c r="A355" s="4"/>
      <c r="B355" s="4"/>
      <c r="C355" s="12"/>
      <c r="D355" s="8"/>
      <c r="E355" s="8"/>
      <c r="F355" s="4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ht="15.75" customHeight="1">
      <c r="A356" s="4"/>
      <c r="B356" s="4"/>
      <c r="C356" s="12"/>
      <c r="D356" s="8"/>
      <c r="E356" s="8"/>
      <c r="F356" s="4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ht="15.75" customHeight="1">
      <c r="A357" s="4"/>
      <c r="B357" s="4"/>
      <c r="C357" s="12"/>
      <c r="D357" s="8"/>
      <c r="E357" s="8"/>
      <c r="F357" s="4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ht="15.75" customHeight="1">
      <c r="A358" s="4"/>
      <c r="B358" s="4"/>
      <c r="C358" s="12"/>
      <c r="D358" s="8"/>
      <c r="E358" s="8"/>
      <c r="F358" s="4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ht="15.75" customHeight="1">
      <c r="A359" s="4"/>
      <c r="B359" s="4"/>
      <c r="C359" s="68"/>
      <c r="D359" s="8"/>
      <c r="E359" s="8"/>
      <c r="F359" s="4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ht="15.75" customHeight="1">
      <c r="A360" s="4"/>
      <c r="B360" s="4"/>
      <c r="C360" s="68"/>
      <c r="D360" s="8"/>
      <c r="E360" s="8"/>
      <c r="F360" s="4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ht="15.75" customHeight="1">
      <c r="A361" s="4"/>
      <c r="B361" s="4"/>
      <c r="C361" s="68"/>
      <c r="D361" s="8"/>
      <c r="E361" s="8"/>
      <c r="F361" s="4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ht="15.75" customHeight="1">
      <c r="A362" s="4"/>
      <c r="B362" s="4"/>
      <c r="C362" s="68"/>
      <c r="D362" s="8"/>
      <c r="E362" s="8"/>
      <c r="F362" s="4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ht="15.75" customHeight="1">
      <c r="A363" s="4"/>
      <c r="B363" s="4"/>
      <c r="C363" s="4"/>
      <c r="D363" s="8"/>
      <c r="E363" s="8"/>
      <c r="F363" s="4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ht="15.75" customHeight="1">
      <c r="A364" s="4"/>
      <c r="B364" s="4"/>
      <c r="C364" s="4"/>
      <c r="D364" s="8"/>
      <c r="E364" s="8"/>
      <c r="F364" s="4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ht="15.75" customHeight="1">
      <c r="A365" s="4"/>
      <c r="B365" s="4"/>
      <c r="C365" s="68"/>
      <c r="D365" s="8"/>
      <c r="E365" s="8"/>
      <c r="F365" s="4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ht="15.75" customHeight="1">
      <c r="A366" s="4"/>
      <c r="B366" s="4"/>
      <c r="C366" s="68"/>
      <c r="D366" s="8"/>
      <c r="E366" s="8"/>
      <c r="F366" s="4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ht="15.75" customHeight="1">
      <c r="A367" s="4"/>
      <c r="B367" s="4"/>
      <c r="C367" s="68"/>
      <c r="D367" s="8"/>
      <c r="E367" s="8"/>
      <c r="F367" s="4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ht="15.75" customHeight="1">
      <c r="A368" s="4"/>
      <c r="B368" s="4"/>
      <c r="C368" s="68"/>
      <c r="D368" s="8"/>
      <c r="E368" s="8"/>
      <c r="F368" s="4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ht="15.75" customHeight="1">
      <c r="A369" s="4"/>
      <c r="B369" s="4"/>
      <c r="C369" s="68"/>
      <c r="D369" s="8"/>
      <c r="E369" s="8"/>
      <c r="F369" s="4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ht="15.75" customHeight="1">
      <c r="A370" s="4"/>
      <c r="B370" s="4"/>
      <c r="C370" s="68"/>
      <c r="D370" s="8"/>
      <c r="E370" s="8"/>
      <c r="F370" s="4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ht="15.75" customHeight="1">
      <c r="A371" s="4"/>
      <c r="B371" s="4"/>
      <c r="C371" s="68"/>
      <c r="D371" s="8"/>
      <c r="E371" s="8"/>
      <c r="F371" s="4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ht="15.75" customHeight="1">
      <c r="A372" s="4"/>
      <c r="B372" s="4"/>
      <c r="C372" s="68"/>
      <c r="D372" s="8"/>
      <c r="E372" s="8"/>
      <c r="F372" s="4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ht="15.75" customHeight="1">
      <c r="A373" s="4"/>
      <c r="B373" s="4"/>
      <c r="C373" s="68"/>
      <c r="D373" s="8"/>
      <c r="E373" s="8"/>
      <c r="F373" s="4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ht="15.75" customHeight="1">
      <c r="A374" s="4"/>
      <c r="B374" s="4"/>
      <c r="C374" s="4"/>
      <c r="D374" s="8"/>
      <c r="E374" s="8"/>
      <c r="F374" s="4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ht="15.75" customHeight="1">
      <c r="A375" s="4"/>
      <c r="B375" s="4"/>
      <c r="C375" s="68"/>
      <c r="D375" s="8"/>
      <c r="E375" s="8"/>
      <c r="F375" s="4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ht="15.75" customHeight="1">
      <c r="A376" s="4"/>
      <c r="B376" s="4"/>
      <c r="C376" s="68"/>
      <c r="D376" s="8"/>
      <c r="E376" s="8"/>
      <c r="F376" s="4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ht="15.75" customHeight="1">
      <c r="A377" s="5"/>
      <c r="B377" s="5"/>
      <c r="C377" s="5"/>
      <c r="D377" s="5"/>
      <c r="E377" s="5"/>
      <c r="F377" s="6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ht="15.75" customHeight="1">
      <c r="A378" s="4"/>
      <c r="B378" s="4"/>
      <c r="C378" s="4"/>
      <c r="D378" s="8"/>
      <c r="E378" s="8"/>
      <c r="F378" s="4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ht="15.75" customHeight="1">
      <c r="A379" s="4"/>
      <c r="B379" s="4"/>
      <c r="C379" s="4"/>
      <c r="D379" s="8"/>
      <c r="E379" s="8"/>
      <c r="F379" s="4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ht="15.75" customHeight="1">
      <c r="A380" s="4"/>
      <c r="B380" s="4"/>
      <c r="C380" s="4"/>
      <c r="D380" s="8"/>
      <c r="E380" s="8"/>
      <c r="F380" s="4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ht="15.75" customHeight="1">
      <c r="A381" s="4"/>
      <c r="B381" s="4"/>
      <c r="C381" s="4"/>
      <c r="D381" s="8"/>
      <c r="E381" s="8"/>
      <c r="F381" s="4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ht="15.75" customHeight="1">
      <c r="A382" s="4"/>
      <c r="B382" s="4"/>
      <c r="C382" s="4"/>
      <c r="D382" s="8"/>
      <c r="E382" s="8"/>
      <c r="F382" s="4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ht="15.75" customHeight="1">
      <c r="A383" s="4"/>
      <c r="B383" s="4"/>
      <c r="C383" s="4"/>
      <c r="D383" s="8"/>
      <c r="E383" s="8"/>
      <c r="F383" s="4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ht="15.75" customHeight="1">
      <c r="A384" s="4"/>
      <c r="B384" s="4"/>
      <c r="C384" s="4"/>
      <c r="D384" s="8"/>
      <c r="E384" s="8"/>
      <c r="F384" s="4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ht="15.75" customHeight="1">
      <c r="A385" s="4"/>
      <c r="B385" s="4"/>
      <c r="C385" s="4"/>
      <c r="D385" s="8"/>
      <c r="E385" s="8"/>
      <c r="F385" s="4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ht="15.75" customHeight="1">
      <c r="A386" s="4"/>
      <c r="B386" s="4"/>
      <c r="C386" s="4"/>
      <c r="D386" s="8"/>
      <c r="E386" s="8"/>
      <c r="F386" s="4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ht="15.75" customHeight="1">
      <c r="A387" s="4"/>
      <c r="B387" s="4"/>
      <c r="C387" s="4"/>
      <c r="D387" s="8"/>
      <c r="E387" s="8"/>
      <c r="F387" s="4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ht="15.75" customHeight="1">
      <c r="A388" s="4"/>
      <c r="B388" s="4"/>
      <c r="C388" s="4"/>
      <c r="D388" s="8"/>
      <c r="E388" s="8"/>
      <c r="F388" s="4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ht="15.75" customHeight="1">
      <c r="A389" s="4"/>
      <c r="B389" s="4"/>
      <c r="C389" s="4"/>
      <c r="D389" s="8"/>
      <c r="E389" s="8"/>
      <c r="F389" s="4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ht="15.75" customHeight="1">
      <c r="A390" s="4"/>
      <c r="B390" s="4"/>
      <c r="C390" s="4"/>
      <c r="D390" s="8"/>
      <c r="E390" s="8"/>
      <c r="F390" s="4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ht="15.75" customHeight="1">
      <c r="A391" s="4"/>
      <c r="B391" s="4"/>
      <c r="C391" s="4"/>
      <c r="D391" s="8"/>
      <c r="E391" s="8"/>
      <c r="F391" s="4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ht="15.75" customHeight="1">
      <c r="A392" s="4"/>
      <c r="B392" s="4"/>
      <c r="C392" s="67"/>
      <c r="D392" s="8"/>
      <c r="E392" s="8"/>
      <c r="F392" s="4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ht="15.75" customHeight="1">
      <c r="A393" s="4"/>
      <c r="B393" s="4"/>
      <c r="C393" s="67"/>
      <c r="D393" s="8"/>
      <c r="E393" s="8"/>
      <c r="F393" s="4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ht="15.75" customHeight="1">
      <c r="A394" s="4"/>
      <c r="B394" s="4"/>
      <c r="C394" s="4"/>
      <c r="D394" s="8"/>
      <c r="E394" s="8"/>
      <c r="F394" s="4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ht="15.75" customHeight="1">
      <c r="A395" s="4"/>
      <c r="B395" s="4"/>
      <c r="C395" s="4"/>
      <c r="D395" s="8"/>
      <c r="E395" s="8"/>
      <c r="F395" s="4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ht="15.75" customHeight="1">
      <c r="A396" s="4"/>
      <c r="B396" s="4"/>
      <c r="C396" s="4"/>
      <c r="D396" s="8"/>
      <c r="E396" s="8"/>
      <c r="F396" s="4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ht="15.75" customHeight="1">
      <c r="A397" s="4"/>
      <c r="B397" s="4"/>
      <c r="C397" s="12"/>
      <c r="D397" s="8"/>
      <c r="E397" s="8"/>
      <c r="F397" s="4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ht="15.75" customHeight="1">
      <c r="A398" s="4"/>
      <c r="B398" s="4"/>
      <c r="C398" s="12"/>
      <c r="D398" s="8"/>
      <c r="E398" s="8"/>
      <c r="F398" s="4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ht="15.75" customHeight="1">
      <c r="A399" s="4"/>
      <c r="B399" s="4"/>
      <c r="C399" s="4"/>
      <c r="D399" s="8"/>
      <c r="E399" s="8"/>
      <c r="F399" s="4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ht="15.75" customHeight="1">
      <c r="A400" s="4"/>
      <c r="B400" s="4"/>
      <c r="C400" s="4"/>
      <c r="D400" s="8"/>
      <c r="E400" s="8"/>
      <c r="F400" s="4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ht="15.75" customHeight="1">
      <c r="A401" s="4"/>
      <c r="B401" s="4"/>
      <c r="C401" s="12"/>
      <c r="D401" s="8"/>
      <c r="E401" s="8"/>
      <c r="F401" s="4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ht="15.75" customHeight="1">
      <c r="A402" s="4"/>
      <c r="B402" s="4"/>
      <c r="C402" s="12"/>
      <c r="D402" s="8"/>
      <c r="E402" s="8"/>
      <c r="F402" s="4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ht="15.75" customHeight="1">
      <c r="A403" s="4"/>
      <c r="B403" s="4"/>
      <c r="C403" s="12"/>
      <c r="D403" s="8"/>
      <c r="E403" s="8"/>
      <c r="F403" s="4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ht="15.75" customHeight="1">
      <c r="A404" s="4"/>
      <c r="B404" s="4"/>
      <c r="C404" s="12"/>
      <c r="D404" s="8"/>
      <c r="E404" s="8"/>
      <c r="F404" s="4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ht="15.75" customHeight="1">
      <c r="A405" s="4"/>
      <c r="B405" s="4"/>
      <c r="C405" s="12"/>
      <c r="D405" s="8"/>
      <c r="E405" s="8"/>
      <c r="F405" s="4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ht="15.75" customHeight="1">
      <c r="A406" s="4"/>
      <c r="B406" s="4"/>
      <c r="C406" s="12"/>
      <c r="D406" s="8"/>
      <c r="E406" s="8"/>
      <c r="F406" s="4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ht="15.75" customHeight="1">
      <c r="A407" s="4"/>
      <c r="B407" s="4"/>
      <c r="C407" s="12"/>
      <c r="D407" s="8"/>
      <c r="E407" s="8"/>
      <c r="F407" s="4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ht="15.75" customHeight="1">
      <c r="A408" s="4"/>
      <c r="B408" s="4"/>
      <c r="C408" s="12"/>
      <c r="D408" s="8"/>
      <c r="E408" s="8"/>
      <c r="F408" s="4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ht="15.75" customHeight="1">
      <c r="A409" s="4"/>
      <c r="B409" s="4"/>
      <c r="C409" s="12"/>
      <c r="D409" s="8"/>
      <c r="E409" s="8"/>
      <c r="F409" s="4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ht="15.75" customHeight="1">
      <c r="A410" s="4"/>
      <c r="B410" s="4"/>
      <c r="C410" s="12"/>
      <c r="D410" s="8"/>
      <c r="E410" s="8"/>
      <c r="F410" s="4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ht="15.75" customHeight="1">
      <c r="A411" s="4"/>
      <c r="B411" s="4"/>
      <c r="C411" s="12"/>
      <c r="D411" s="8"/>
      <c r="E411" s="8"/>
      <c r="F411" s="4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ht="15.75" customHeight="1">
      <c r="A412" s="4"/>
      <c r="B412" s="4"/>
      <c r="C412" s="12"/>
      <c r="D412" s="8"/>
      <c r="E412" s="8"/>
      <c r="F412" s="4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ht="15.75" customHeight="1">
      <c r="A413" s="4"/>
      <c r="B413" s="4"/>
      <c r="C413" s="12"/>
      <c r="D413" s="8"/>
      <c r="E413" s="8"/>
      <c r="F413" s="4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ht="15.75" customHeight="1">
      <c r="A414" s="4"/>
      <c r="B414" s="4"/>
      <c r="C414" s="4"/>
      <c r="D414" s="8"/>
      <c r="E414" s="8"/>
      <c r="F414" s="4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ht="15.75" customHeight="1">
      <c r="A415" s="4"/>
      <c r="B415" s="4"/>
      <c r="C415" s="4"/>
      <c r="D415" s="8"/>
      <c r="E415" s="8"/>
      <c r="F415" s="4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ht="15.75" customHeight="1">
      <c r="A416" s="4"/>
      <c r="B416" s="4"/>
      <c r="C416" s="4"/>
      <c r="D416" s="8"/>
      <c r="E416" s="8"/>
      <c r="F416" s="4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ht="15.75" customHeight="1">
      <c r="A417" s="4"/>
      <c r="B417" s="4"/>
      <c r="C417" s="4"/>
      <c r="D417" s="8"/>
      <c r="E417" s="8"/>
      <c r="F417" s="4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ht="15.75" customHeight="1">
      <c r="A418" s="4"/>
      <c r="B418" s="4"/>
      <c r="C418" s="4"/>
      <c r="D418" s="8"/>
      <c r="E418" s="8"/>
      <c r="F418" s="4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ht="15.75" customHeight="1">
      <c r="A419" s="4"/>
      <c r="B419" s="4"/>
      <c r="C419" s="4"/>
      <c r="D419" s="8"/>
      <c r="E419" s="8"/>
      <c r="F419" s="4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ht="15.75" customHeight="1">
      <c r="A420" s="4"/>
      <c r="B420" s="4"/>
      <c r="C420" s="12"/>
      <c r="D420" s="8"/>
      <c r="E420" s="8"/>
      <c r="F420" s="4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ht="15.75" customHeight="1">
      <c r="A421" s="4"/>
      <c r="B421" s="4"/>
      <c r="C421" s="12"/>
      <c r="D421" s="8"/>
      <c r="E421" s="8"/>
      <c r="F421" s="4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ht="15.75" customHeight="1">
      <c r="A422" s="4"/>
      <c r="B422" s="4"/>
      <c r="C422" s="12"/>
      <c r="D422" s="8"/>
      <c r="E422" s="8"/>
      <c r="F422" s="4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ht="15.75" customHeight="1">
      <c r="A423" s="5"/>
      <c r="B423" s="5"/>
      <c r="C423" s="5"/>
      <c r="D423" s="5"/>
      <c r="E423" s="5"/>
      <c r="F423" s="6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ht="15.75" customHeight="1">
      <c r="A424" s="4"/>
      <c r="B424" s="4"/>
      <c r="C424" s="4"/>
      <c r="D424" s="8"/>
      <c r="E424" s="8"/>
      <c r="F424" s="4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ht="15.75" customHeight="1">
      <c r="A425" s="4"/>
      <c r="B425" s="4"/>
      <c r="C425" s="4"/>
      <c r="D425" s="8"/>
      <c r="E425" s="8"/>
      <c r="F425" s="4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ht="15.75" customHeight="1">
      <c r="A426" s="4"/>
      <c r="B426" s="4"/>
      <c r="C426" s="67"/>
      <c r="D426" s="8"/>
      <c r="E426" s="8"/>
      <c r="F426" s="4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ht="15.75" customHeight="1">
      <c r="A427" s="4"/>
      <c r="B427" s="4"/>
      <c r="C427" s="67"/>
      <c r="D427" s="8"/>
      <c r="E427" s="8"/>
      <c r="F427" s="4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ht="15.75" customHeight="1">
      <c r="A428" s="4"/>
      <c r="B428" s="4"/>
      <c r="C428" s="67"/>
      <c r="D428" s="8"/>
      <c r="E428" s="8"/>
      <c r="F428" s="4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ht="15.75" customHeight="1">
      <c r="A429" s="4"/>
      <c r="B429" s="4"/>
      <c r="C429" s="67"/>
      <c r="D429" s="8"/>
      <c r="E429" s="8"/>
      <c r="F429" s="4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ht="15.75" customHeight="1">
      <c r="A430" s="4"/>
      <c r="B430" s="4"/>
      <c r="C430" s="67"/>
      <c r="D430" s="8"/>
      <c r="E430" s="8"/>
      <c r="F430" s="4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ht="15.75" customHeight="1">
      <c r="A431" s="4"/>
      <c r="B431" s="4"/>
      <c r="C431" s="67"/>
      <c r="D431" s="8"/>
      <c r="E431" s="8"/>
      <c r="F431" s="4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ht="15.75" customHeight="1">
      <c r="A432" s="4"/>
      <c r="B432" s="4"/>
      <c r="C432" s="67"/>
      <c r="D432" s="8"/>
      <c r="E432" s="8"/>
      <c r="F432" s="4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ht="15.75" customHeight="1">
      <c r="A433" s="4"/>
      <c r="B433" s="4"/>
      <c r="C433" s="67"/>
      <c r="D433" s="8"/>
      <c r="E433" s="8"/>
      <c r="F433" s="4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ht="15.75" customHeight="1">
      <c r="A434" s="4"/>
      <c r="B434" s="4"/>
      <c r="C434" s="12"/>
      <c r="D434" s="8"/>
      <c r="E434" s="8"/>
      <c r="F434" s="4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ht="15.75" customHeight="1">
      <c r="A435" s="4"/>
      <c r="B435" s="4"/>
      <c r="C435" s="12"/>
      <c r="D435" s="8"/>
      <c r="E435" s="8"/>
      <c r="F435" s="4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ht="15.75" customHeight="1">
      <c r="A436" s="4"/>
      <c r="B436" s="4"/>
      <c r="C436" s="12"/>
      <c r="D436" s="8"/>
      <c r="E436" s="8"/>
      <c r="F436" s="4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ht="15.75" customHeight="1">
      <c r="A437" s="4"/>
      <c r="B437" s="4"/>
      <c r="C437" s="12"/>
      <c r="D437" s="8"/>
      <c r="E437" s="8"/>
      <c r="F437" s="4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ht="15.75" customHeight="1">
      <c r="A438" s="4"/>
      <c r="B438" s="4"/>
      <c r="C438" s="12"/>
      <c r="D438" s="8"/>
      <c r="E438" s="8"/>
      <c r="F438" s="4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ht="15.75" customHeight="1">
      <c r="A439" s="4"/>
      <c r="B439" s="4"/>
      <c r="C439" s="12"/>
      <c r="D439" s="8"/>
      <c r="E439" s="8"/>
      <c r="F439" s="4"/>
      <c r="G439" s="3"/>
      <c r="H439" s="3"/>
      <c r="I439" s="3"/>
      <c r="J439" s="3">
        <f>+-I490</f>
        <v>0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ht="15.75" customHeight="1">
      <c r="A440" s="4"/>
      <c r="B440" s="4"/>
      <c r="C440" s="4"/>
      <c r="D440" s="8"/>
      <c r="E440" s="8"/>
      <c r="F440" s="4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ht="15.75" customHeight="1">
      <c r="A441" s="4"/>
      <c r="B441" s="4"/>
      <c r="C441" s="4"/>
      <c r="D441" s="8"/>
      <c r="E441" s="8"/>
      <c r="F441" s="4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ht="15.75" customHeight="1">
      <c r="A442" s="4"/>
      <c r="B442" s="4"/>
      <c r="C442" s="4"/>
      <c r="D442" s="8"/>
      <c r="E442" s="8"/>
      <c r="F442" s="4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ht="15.75" customHeight="1">
      <c r="A443" s="4"/>
      <c r="B443" s="4"/>
      <c r="C443" s="4"/>
      <c r="D443" s="8"/>
      <c r="E443" s="8"/>
      <c r="F443" s="4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ht="15.75" customHeight="1">
      <c r="A444" s="4"/>
      <c r="B444" s="4"/>
      <c r="C444" s="4"/>
      <c r="D444" s="8"/>
      <c r="E444" s="8"/>
      <c r="F444" s="4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ht="15.75" customHeight="1">
      <c r="A445" s="4"/>
      <c r="B445" s="4"/>
      <c r="C445" s="4"/>
      <c r="D445" s="8"/>
      <c r="E445" s="8"/>
      <c r="F445" s="4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ht="15.75" customHeight="1">
      <c r="A446" s="4"/>
      <c r="B446" s="4"/>
      <c r="C446" s="4"/>
      <c r="D446" s="8"/>
      <c r="E446" s="8"/>
      <c r="F446" s="4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ht="15.75" customHeight="1">
      <c r="A447" s="4"/>
      <c r="B447" s="4"/>
      <c r="C447" s="4"/>
      <c r="D447" s="8"/>
      <c r="E447" s="8"/>
      <c r="F447" s="4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ht="15.75" customHeight="1">
      <c r="A448" s="4"/>
      <c r="B448" s="4"/>
      <c r="C448" s="4"/>
      <c r="D448" s="8"/>
      <c r="E448" s="8"/>
      <c r="F448" s="4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ht="15.75" customHeight="1">
      <c r="A449" s="4"/>
      <c r="B449" s="4"/>
      <c r="C449" s="4"/>
      <c r="D449" s="8"/>
      <c r="E449" s="8"/>
      <c r="F449" s="4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ht="15.75" customHeight="1">
      <c r="A450" s="4"/>
      <c r="B450" s="4"/>
      <c r="C450" s="4"/>
      <c r="D450" s="8"/>
      <c r="E450" s="8"/>
      <c r="F450" s="4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ht="15.75" customHeight="1">
      <c r="A451" s="5"/>
      <c r="B451" s="5"/>
      <c r="C451" s="5"/>
      <c r="D451" s="5"/>
      <c r="E451" s="5"/>
      <c r="F451" s="6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ht="15.75" customHeight="1">
      <c r="A452" s="4"/>
      <c r="B452" s="4"/>
      <c r="C452" s="4"/>
      <c r="D452" s="8"/>
      <c r="E452" s="8"/>
      <c r="F452" s="4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ht="15.75" customHeight="1">
      <c r="A453" s="4"/>
      <c r="B453" s="4"/>
      <c r="C453" s="12"/>
      <c r="D453" s="8"/>
      <c r="E453" s="8"/>
      <c r="F453" s="4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ht="15.75" customHeight="1">
      <c r="A454" s="4"/>
      <c r="B454" s="4"/>
      <c r="C454" s="4"/>
      <c r="D454" s="8"/>
      <c r="E454" s="8"/>
      <c r="F454" s="4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ht="15.75" customHeight="1">
      <c r="A455" s="4"/>
      <c r="B455" s="4"/>
      <c r="C455" s="4"/>
      <c r="D455" s="8"/>
      <c r="E455" s="8"/>
      <c r="F455" s="4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ht="15.75" customHeight="1">
      <c r="A456" s="4"/>
      <c r="B456" s="4"/>
      <c r="C456" s="4"/>
      <c r="D456" s="8"/>
      <c r="E456" s="8"/>
      <c r="F456" s="4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ht="15.75" customHeight="1">
      <c r="A457" s="4"/>
      <c r="B457" s="4"/>
      <c r="C457" s="4"/>
      <c r="D457" s="8"/>
      <c r="E457" s="8"/>
      <c r="F457" s="4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ht="15.75" customHeight="1">
      <c r="A458" s="4"/>
      <c r="B458" s="4"/>
      <c r="C458" s="4"/>
      <c r="D458" s="8"/>
      <c r="E458" s="8"/>
      <c r="F458" s="4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ht="15.75" customHeight="1">
      <c r="A459" s="5"/>
      <c r="B459" s="5"/>
      <c r="C459" s="5"/>
      <c r="D459" s="5"/>
      <c r="E459" s="5"/>
      <c r="F459" s="6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ht="15.75" customHeight="1">
      <c r="A460" s="4"/>
      <c r="B460" s="4"/>
      <c r="C460" s="4"/>
      <c r="D460" s="8"/>
      <c r="E460" s="8"/>
      <c r="F460" s="4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ht="15.75" customHeight="1">
      <c r="A461" s="4"/>
      <c r="B461" s="4"/>
      <c r="C461" s="4"/>
      <c r="D461" s="8"/>
      <c r="E461" s="8"/>
      <c r="F461" s="4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ht="15.75" customHeight="1">
      <c r="A462" s="4"/>
      <c r="B462" s="4"/>
      <c r="C462" s="4"/>
      <c r="D462" s="8"/>
      <c r="E462" s="8"/>
      <c r="F462" s="4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ht="15.75" customHeight="1">
      <c r="A463" s="4"/>
      <c r="B463" s="4"/>
      <c r="C463" s="4"/>
      <c r="D463" s="8"/>
      <c r="E463" s="8"/>
      <c r="F463" s="4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ht="15.75" customHeight="1">
      <c r="A464" s="4"/>
      <c r="B464" s="4"/>
      <c r="C464" s="4"/>
      <c r="D464" s="8"/>
      <c r="E464" s="8"/>
      <c r="F464" s="4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ht="15.75" customHeight="1">
      <c r="A465" s="5"/>
      <c r="B465" s="5"/>
      <c r="C465" s="5"/>
      <c r="D465" s="5"/>
      <c r="E465" s="5"/>
      <c r="F465" s="6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ht="15.75" customHeight="1">
      <c r="A466" s="4"/>
      <c r="B466" s="4"/>
      <c r="C466" s="4"/>
      <c r="D466" s="8"/>
      <c r="E466" s="8"/>
      <c r="F466" s="4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ht="15.75" customHeight="1">
      <c r="A467" s="4"/>
      <c r="B467" s="4"/>
      <c r="C467" s="4"/>
      <c r="D467" s="8"/>
      <c r="E467" s="8"/>
      <c r="F467" s="4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ht="15.75" customHeight="1">
      <c r="A468" s="4"/>
      <c r="B468" s="4"/>
      <c r="C468" s="4"/>
      <c r="D468" s="8"/>
      <c r="E468" s="8"/>
      <c r="F468" s="4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ht="15.75" customHeight="1">
      <c r="A469" s="4"/>
      <c r="B469" s="4"/>
      <c r="C469" s="4"/>
      <c r="D469" s="8"/>
      <c r="E469" s="8"/>
      <c r="F469" s="4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ht="15.75" customHeight="1">
      <c r="A470" s="4"/>
      <c r="B470" s="4"/>
      <c r="C470" s="12"/>
      <c r="D470" s="8"/>
      <c r="E470" s="8"/>
      <c r="F470" s="4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ht="15.75" customHeight="1">
      <c r="A471" s="5"/>
      <c r="B471" s="5"/>
      <c r="C471" s="5"/>
      <c r="D471" s="5"/>
      <c r="E471" s="5"/>
      <c r="F471" s="6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ht="15.75" customHeight="1">
      <c r="A472" s="4"/>
      <c r="B472" s="4"/>
      <c r="C472" s="4"/>
      <c r="D472" s="8"/>
      <c r="E472" s="8"/>
      <c r="F472" s="4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ht="15.75" customHeight="1">
      <c r="A473" s="4"/>
      <c r="B473" s="4"/>
      <c r="C473" s="12"/>
      <c r="D473" s="8"/>
      <c r="E473" s="8"/>
      <c r="F473" s="4"/>
      <c r="G473" s="69"/>
      <c r="H473" s="69"/>
      <c r="I473" s="70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ht="15.75" customHeight="1">
      <c r="A474" s="5"/>
      <c r="B474" s="5"/>
      <c r="C474" s="5"/>
      <c r="D474" s="5"/>
      <c r="E474" s="5"/>
      <c r="F474" s="6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ht="15.75" customHeight="1">
      <c r="A475" s="4"/>
      <c r="B475" s="4"/>
      <c r="C475" s="67"/>
      <c r="D475" s="8"/>
      <c r="E475" s="8"/>
      <c r="F475" s="4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ht="15.75" customHeight="1">
      <c r="A476" s="4"/>
      <c r="B476" s="4"/>
      <c r="C476" s="4"/>
      <c r="D476" s="8"/>
      <c r="E476" s="8"/>
      <c r="F476" s="4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ht="15.75" customHeight="1">
      <c r="A477" s="4"/>
      <c r="B477" s="4"/>
      <c r="C477" s="4"/>
      <c r="D477" s="8"/>
      <c r="E477" s="8"/>
      <c r="F477" s="4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ht="15.75" customHeight="1">
      <c r="A478" s="4"/>
      <c r="B478" s="4"/>
      <c r="C478" s="4"/>
      <c r="D478" s="8"/>
      <c r="E478" s="8"/>
      <c r="F478" s="4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ht="15.75" customHeight="1">
      <c r="A479" s="4"/>
      <c r="B479" s="4"/>
      <c r="C479" s="12"/>
      <c r="D479" s="8"/>
      <c r="E479" s="8"/>
      <c r="F479" s="4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ht="15.75" customHeight="1">
      <c r="A480" s="4"/>
      <c r="B480" s="4"/>
      <c r="C480" s="12"/>
      <c r="D480" s="8"/>
      <c r="E480" s="8"/>
      <c r="F480" s="4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ht="15.75" customHeight="1">
      <c r="A481" s="4"/>
      <c r="B481" s="4"/>
      <c r="C481" s="67"/>
      <c r="D481" s="8"/>
      <c r="E481" s="8"/>
      <c r="F481" s="4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ht="15.75" customHeight="1">
      <c r="A482" s="4"/>
      <c r="B482" s="4"/>
      <c r="C482" s="12"/>
      <c r="D482" s="8"/>
      <c r="E482" s="8"/>
      <c r="F482" s="4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ht="15.75" hidden="1" customHeight="1">
      <c r="A483" s="4"/>
      <c r="B483" s="4"/>
      <c r="C483" s="4"/>
      <c r="D483" s="8"/>
      <c r="E483" s="8"/>
      <c r="F483" s="4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ht="15.75" customHeight="1">
      <c r="A484" s="5"/>
      <c r="B484" s="5"/>
      <c r="C484" s="5"/>
      <c r="D484" s="5"/>
      <c r="E484" s="5"/>
      <c r="F484" s="6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ht="15.75" customHeight="1">
      <c r="A485" s="4"/>
      <c r="B485" s="4"/>
      <c r="C485" s="4"/>
      <c r="D485" s="8"/>
      <c r="E485" s="8"/>
      <c r="F485" s="4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ht="15.75" customHeight="1">
      <c r="A486" s="4"/>
      <c r="B486" s="4"/>
      <c r="C486" s="4"/>
      <c r="D486" s="8"/>
      <c r="E486" s="8"/>
      <c r="F486" s="4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ht="15.75" customHeight="1">
      <c r="A487" s="4"/>
      <c r="B487" s="4"/>
      <c r="C487" s="4"/>
      <c r="D487" s="8"/>
      <c r="E487" s="8"/>
      <c r="F487" s="4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ht="15.75" customHeight="1">
      <c r="A488" s="4"/>
      <c r="B488" s="4"/>
      <c r="C488" s="4"/>
      <c r="D488" s="8"/>
      <c r="E488" s="8"/>
      <c r="F488" s="4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ht="15.75" customHeight="1">
      <c r="A489" s="4"/>
      <c r="B489" s="4"/>
      <c r="C489" s="67"/>
      <c r="D489" s="8"/>
      <c r="E489" s="8"/>
      <c r="F489" s="4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ht="15.75" customHeight="1">
      <c r="A490" s="4"/>
      <c r="B490" s="4"/>
      <c r="C490" s="67"/>
      <c r="D490" s="8"/>
      <c r="E490" s="8"/>
      <c r="F490" s="4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ht="15.75" customHeight="1">
      <c r="A491" s="4"/>
      <c r="B491" s="4"/>
      <c r="C491" s="67"/>
      <c r="D491" s="8"/>
      <c r="E491" s="8"/>
      <c r="F491" s="4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ht="15.75" customHeight="1">
      <c r="A492" s="4"/>
      <c r="B492" s="4"/>
      <c r="C492" s="67"/>
      <c r="D492" s="8"/>
      <c r="E492" s="8"/>
      <c r="F492" s="4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ht="15.75" customHeight="1">
      <c r="A493" s="4"/>
      <c r="B493" s="4"/>
      <c r="C493" s="67"/>
      <c r="D493" s="8"/>
      <c r="E493" s="8"/>
      <c r="F493" s="4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ht="15.75" customHeight="1">
      <c r="A494" s="4"/>
      <c r="B494" s="4"/>
      <c r="C494" s="4"/>
      <c r="D494" s="8"/>
      <c r="E494" s="8"/>
      <c r="F494" s="4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ht="15.75" customHeight="1">
      <c r="A495" s="5"/>
      <c r="B495" s="5"/>
      <c r="C495" s="5"/>
      <c r="D495" s="5"/>
      <c r="E495" s="5"/>
      <c r="F495" s="6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ht="15.75" customHeight="1">
      <c r="A496" s="4"/>
      <c r="B496" s="4"/>
      <c r="C496" s="4"/>
      <c r="D496" s="8"/>
      <c r="E496" s="8"/>
      <c r="F496" s="4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ht="15.75" customHeight="1">
      <c r="A497" s="4"/>
      <c r="B497" s="4"/>
      <c r="C497" s="4"/>
      <c r="D497" s="8"/>
      <c r="E497" s="8"/>
      <c r="F497" s="4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ht="15.75" customHeight="1">
      <c r="A498" s="4"/>
      <c r="B498" s="4"/>
      <c r="C498" s="4"/>
      <c r="D498" s="8"/>
      <c r="E498" s="8"/>
      <c r="F498" s="4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ht="15.75" customHeight="1">
      <c r="A499" s="4"/>
      <c r="B499" s="4"/>
      <c r="C499" s="4"/>
      <c r="D499" s="8"/>
      <c r="E499" s="8"/>
      <c r="F499" s="4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ht="15.75" customHeight="1">
      <c r="A500" s="4"/>
      <c r="B500" s="4"/>
      <c r="C500" s="4"/>
      <c r="D500" s="8"/>
      <c r="E500" s="8"/>
      <c r="F500" s="4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ht="15.75" customHeight="1">
      <c r="A501" s="4"/>
      <c r="B501" s="4"/>
      <c r="C501" s="4"/>
      <c r="D501" s="8"/>
      <c r="E501" s="8"/>
      <c r="F501" s="4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ht="15.75" customHeight="1">
      <c r="A502" s="4"/>
      <c r="B502" s="4"/>
      <c r="C502" s="4"/>
      <c r="D502" s="8"/>
      <c r="E502" s="8"/>
      <c r="F502" s="4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ht="15.75" customHeight="1">
      <c r="A503" s="4"/>
      <c r="B503" s="4"/>
      <c r="C503" s="4"/>
      <c r="D503" s="8"/>
      <c r="E503" s="8"/>
      <c r="F503" s="4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ht="15.75" customHeight="1">
      <c r="A504" s="4"/>
      <c r="B504" s="4"/>
      <c r="C504" s="12"/>
      <c r="D504" s="8"/>
      <c r="E504" s="8"/>
      <c r="F504" s="4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ht="15.75" customHeight="1">
      <c r="A505" s="4"/>
      <c r="B505" s="4"/>
      <c r="C505" s="12"/>
      <c r="D505" s="8"/>
      <c r="E505" s="8"/>
      <c r="F505" s="4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ht="15.75" customHeight="1">
      <c r="A506" s="5"/>
      <c r="B506" s="5"/>
      <c r="C506" s="5"/>
      <c r="D506" s="5"/>
      <c r="E506" s="5"/>
      <c r="F506" s="6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ht="15.75" customHeight="1">
      <c r="A507" s="4"/>
      <c r="B507" s="4"/>
      <c r="C507" s="4"/>
      <c r="D507" s="8"/>
      <c r="E507" s="8"/>
      <c r="F507" s="4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ht="15.75" customHeight="1">
      <c r="A508" s="4"/>
      <c r="B508" s="4"/>
      <c r="C508" s="4"/>
      <c r="D508" s="8"/>
      <c r="E508" s="8"/>
      <c r="F508" s="4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ht="15.75" customHeight="1">
      <c r="A509" s="4"/>
      <c r="B509" s="4"/>
      <c r="C509" s="4"/>
      <c r="D509" s="8"/>
      <c r="E509" s="8"/>
      <c r="F509" s="4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ht="15.75" customHeight="1">
      <c r="A510" s="4"/>
      <c r="B510" s="4"/>
      <c r="C510" s="4"/>
      <c r="D510" s="8"/>
      <c r="E510" s="8"/>
      <c r="F510" s="4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ht="15.75" customHeight="1">
      <c r="A511" s="4"/>
      <c r="B511" s="4"/>
      <c r="C511" s="71"/>
      <c r="D511" s="8"/>
      <c r="E511" s="8"/>
      <c r="F511" s="4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ht="15.75" customHeight="1">
      <c r="A512" s="4"/>
      <c r="B512" s="4"/>
      <c r="C512" s="71"/>
      <c r="D512" s="8"/>
      <c r="E512" s="8"/>
      <c r="F512" s="4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ht="15.75" customHeight="1">
      <c r="A513" s="5"/>
      <c r="B513" s="5"/>
      <c r="C513" s="5"/>
      <c r="D513" s="5"/>
      <c r="E513" s="5"/>
      <c r="F513" s="6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ht="15.75" customHeight="1">
      <c r="A514" s="4"/>
      <c r="B514" s="4"/>
      <c r="C514" s="4"/>
      <c r="D514" s="8"/>
      <c r="E514" s="8"/>
      <c r="F514" s="4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ht="15.75" customHeight="1">
      <c r="A515" s="4"/>
      <c r="B515" s="4"/>
      <c r="C515" s="12"/>
      <c r="D515" s="8"/>
      <c r="E515" s="8"/>
      <c r="F515" s="4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ht="15.75" customHeight="1">
      <c r="A516" s="5"/>
      <c r="B516" s="5"/>
      <c r="C516" s="5"/>
      <c r="D516" s="5"/>
      <c r="E516" s="5"/>
      <c r="F516" s="6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ht="15.75" customHeight="1">
      <c r="A517" s="72"/>
      <c r="B517" s="72"/>
      <c r="C517" s="72"/>
      <c r="D517" s="73"/>
      <c r="E517" s="73"/>
      <c r="F517" s="72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ht="15.75" customHeight="1">
      <c r="A518" s="5"/>
      <c r="B518" s="5"/>
      <c r="C518" s="5"/>
      <c r="D518" s="5"/>
      <c r="E518" s="5"/>
      <c r="F518" s="6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ht="15.75" customHeight="1">
      <c r="A519" s="4"/>
      <c r="B519" s="4"/>
      <c r="C519" s="4"/>
      <c r="D519" s="8"/>
      <c r="E519" s="8"/>
      <c r="F519" s="4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ht="15.75" customHeight="1">
      <c r="A520" s="4"/>
      <c r="B520" s="4"/>
      <c r="C520" s="4"/>
      <c r="D520" s="8"/>
      <c r="E520" s="8"/>
      <c r="F520" s="4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ht="15.75" customHeight="1">
      <c r="A521" s="4"/>
      <c r="B521" s="4"/>
      <c r="C521" s="4"/>
      <c r="D521" s="8"/>
      <c r="E521" s="8"/>
      <c r="F521" s="4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ht="15.75" customHeight="1">
      <c r="A522" s="4"/>
      <c r="B522" s="4"/>
      <c r="C522" s="4"/>
      <c r="D522" s="8"/>
      <c r="E522" s="8"/>
      <c r="F522" s="4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ht="15.75" customHeight="1">
      <c r="A523" s="4"/>
      <c r="B523" s="4"/>
      <c r="C523" s="4"/>
      <c r="D523" s="8"/>
      <c r="E523" s="8"/>
      <c r="F523" s="4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ht="15.75" customHeight="1">
      <c r="A524" s="4"/>
      <c r="B524" s="4"/>
      <c r="C524" s="4"/>
      <c r="D524" s="8"/>
      <c r="E524" s="8"/>
      <c r="F524" s="4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ht="15.75" customHeight="1">
      <c r="A525" s="4"/>
      <c r="B525" s="4"/>
      <c r="C525" s="4"/>
      <c r="D525" s="8"/>
      <c r="E525" s="8"/>
      <c r="F525" s="4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ht="15.75" customHeight="1">
      <c r="A526" s="4"/>
      <c r="B526" s="4"/>
      <c r="C526" s="4"/>
      <c r="D526" s="8"/>
      <c r="E526" s="8"/>
      <c r="F526" s="4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ht="15.75" customHeight="1">
      <c r="A527" s="4"/>
      <c r="B527" s="4"/>
      <c r="C527" s="4"/>
      <c r="D527" s="8"/>
      <c r="E527" s="8"/>
      <c r="F527" s="4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ht="15.75" customHeight="1">
      <c r="A528" s="5"/>
      <c r="B528" s="5"/>
      <c r="C528" s="5"/>
      <c r="D528" s="5"/>
      <c r="E528" s="5"/>
      <c r="F528" s="6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ht="15.75" customHeight="1">
      <c r="A529" s="4"/>
      <c r="B529" s="4"/>
      <c r="C529" s="4"/>
      <c r="D529" s="8"/>
      <c r="E529" s="8"/>
      <c r="F529" s="4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ht="15.75" customHeight="1">
      <c r="A530" s="4"/>
      <c r="B530" s="4"/>
      <c r="C530" s="4"/>
      <c r="D530" s="8"/>
      <c r="E530" s="8"/>
      <c r="F530" s="4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ht="15.75" customHeight="1">
      <c r="A531" s="4"/>
      <c r="B531" s="4"/>
      <c r="C531" s="4"/>
      <c r="D531" s="8"/>
      <c r="E531" s="8"/>
      <c r="F531" s="4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ht="15.75" customHeight="1">
      <c r="A532" s="4"/>
      <c r="B532" s="4"/>
      <c r="C532" s="4"/>
      <c r="D532" s="8"/>
      <c r="E532" s="8"/>
      <c r="F532" s="4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ht="15.75" customHeight="1">
      <c r="A533" s="4"/>
      <c r="B533" s="4"/>
      <c r="C533" s="4"/>
      <c r="D533" s="8"/>
      <c r="E533" s="8"/>
      <c r="F533" s="4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ht="15.75" customHeight="1">
      <c r="A534" s="4"/>
      <c r="B534" s="4"/>
      <c r="C534" s="4"/>
      <c r="D534" s="8"/>
      <c r="E534" s="8"/>
      <c r="F534" s="4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ht="15.75" customHeight="1">
      <c r="A535" s="4"/>
      <c r="B535" s="4"/>
      <c r="C535" s="4"/>
      <c r="D535" s="8"/>
      <c r="E535" s="8"/>
      <c r="F535" s="4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ht="15.75" customHeight="1">
      <c r="A536" s="4"/>
      <c r="B536" s="4"/>
      <c r="C536" s="4"/>
      <c r="D536" s="8"/>
      <c r="E536" s="8"/>
      <c r="F536" s="4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ht="15.75" customHeight="1">
      <c r="A537" s="4"/>
      <c r="B537" s="4"/>
      <c r="C537" s="4"/>
      <c r="D537" s="8"/>
      <c r="E537" s="8"/>
      <c r="F537" s="4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ht="15.75" customHeight="1">
      <c r="A538" s="5"/>
      <c r="B538" s="5"/>
      <c r="C538" s="5"/>
      <c r="D538" s="5"/>
      <c r="E538" s="5"/>
      <c r="F538" s="6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ht="15.75" customHeight="1">
      <c r="A566" s="5"/>
      <c r="B566" s="5"/>
      <c r="C566" s="5"/>
      <c r="D566" s="5"/>
      <c r="E566" s="5"/>
      <c r="F566" s="6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ht="15.75" customHeight="1">
      <c r="A567" s="4"/>
      <c r="B567" s="4"/>
      <c r="C567" s="67"/>
      <c r="D567" s="8"/>
      <c r="E567" s="8"/>
      <c r="F567" s="4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ht="15.75" customHeight="1">
      <c r="A568" s="4"/>
      <c r="B568" s="4"/>
      <c r="C568" s="67"/>
      <c r="D568" s="8"/>
      <c r="E568" s="8"/>
      <c r="F568" s="4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ht="15.75" customHeight="1">
      <c r="A569" s="4"/>
      <c r="B569" s="4"/>
      <c r="C569" s="67"/>
      <c r="D569" s="8"/>
      <c r="E569" s="8"/>
      <c r="F569" s="4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ht="15.75" customHeight="1">
      <c r="A570" s="4"/>
      <c r="B570" s="4"/>
      <c r="C570" s="67"/>
      <c r="D570" s="8"/>
      <c r="E570" s="8"/>
      <c r="F570" s="4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ht="15.75" customHeight="1">
      <c r="A571" s="4"/>
      <c r="B571" s="4"/>
      <c r="C571" s="67"/>
      <c r="D571" s="8"/>
      <c r="E571" s="8"/>
      <c r="F571" s="4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ht="15.75" customHeight="1">
      <c r="A572" s="4"/>
      <c r="B572" s="4"/>
      <c r="C572" s="67"/>
      <c r="D572" s="8"/>
      <c r="E572" s="8"/>
      <c r="F572" s="4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ht="15.75" customHeight="1">
      <c r="A573" s="4"/>
      <c r="B573" s="4"/>
      <c r="C573" s="71"/>
      <c r="D573" s="8"/>
      <c r="E573" s="8"/>
      <c r="F573" s="4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ht="15.75" customHeight="1">
      <c r="A574" s="4"/>
      <c r="B574" s="4"/>
      <c r="C574" s="71"/>
      <c r="D574" s="8"/>
      <c r="E574" s="8"/>
      <c r="F574" s="4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ht="15.75" customHeight="1">
      <c r="A575" s="4"/>
      <c r="B575" s="4"/>
      <c r="C575" s="71"/>
      <c r="D575" s="8"/>
      <c r="E575" s="8"/>
      <c r="F575" s="4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ht="15.75" customHeight="1">
      <c r="A576" s="4"/>
      <c r="B576" s="4"/>
      <c r="C576" s="71"/>
      <c r="D576" s="8"/>
      <c r="E576" s="8"/>
      <c r="F576" s="4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ht="15.75" customHeight="1">
      <c r="A577" s="5"/>
      <c r="B577" s="5"/>
      <c r="C577" s="5"/>
      <c r="D577" s="5"/>
      <c r="E577" s="5"/>
      <c r="F577" s="6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ht="15.75" customHeight="1">
      <c r="A578" s="4"/>
      <c r="B578" s="4"/>
      <c r="C578" s="4"/>
      <c r="D578" s="8"/>
      <c r="E578" s="8"/>
      <c r="F578" s="4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ht="15.75" customHeight="1">
      <c r="A579" s="4"/>
      <c r="B579" s="4"/>
      <c r="C579" s="4"/>
      <c r="D579" s="8"/>
      <c r="E579" s="8"/>
      <c r="F579" s="4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ht="15.75" customHeight="1">
      <c r="A580" s="4"/>
      <c r="B580" s="4"/>
      <c r="C580" s="4"/>
      <c r="D580" s="8"/>
      <c r="E580" s="8"/>
      <c r="F580" s="4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ht="15.75" customHeight="1">
      <c r="A581" s="4"/>
      <c r="B581" s="4"/>
      <c r="C581" s="4"/>
      <c r="D581" s="8"/>
      <c r="E581" s="8"/>
      <c r="F581" s="4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ht="15.75" customHeight="1">
      <c r="A582" s="4"/>
      <c r="B582" s="4"/>
      <c r="C582" s="4"/>
      <c r="D582" s="8"/>
      <c r="E582" s="8"/>
      <c r="F582" s="4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ht="15.75" customHeight="1">
      <c r="A583" s="4"/>
      <c r="B583" s="4"/>
      <c r="C583" s="4"/>
      <c r="D583" s="8"/>
      <c r="E583" s="8"/>
      <c r="F583" s="4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ht="15.75" customHeight="1">
      <c r="A584" s="4"/>
      <c r="B584" s="4"/>
      <c r="C584" s="4"/>
      <c r="D584" s="8"/>
      <c r="E584" s="8"/>
      <c r="F584" s="4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ht="15.75" customHeight="1">
      <c r="A585" s="4"/>
      <c r="B585" s="4"/>
      <c r="C585" s="4"/>
      <c r="D585" s="8"/>
      <c r="E585" s="8"/>
      <c r="F585" s="4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ht="15.75" customHeight="1">
      <c r="A586" s="4"/>
      <c r="B586" s="4"/>
      <c r="C586" s="4"/>
      <c r="D586" s="8"/>
      <c r="E586" s="8"/>
      <c r="F586" s="4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ht="15.75" customHeight="1">
      <c r="A587" s="4"/>
      <c r="B587" s="4"/>
      <c r="C587" s="4"/>
      <c r="D587" s="8"/>
      <c r="E587" s="8"/>
      <c r="F587" s="4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ht="15.75" customHeight="1">
      <c r="A588" s="4"/>
      <c r="B588" s="4"/>
      <c r="C588" s="4"/>
      <c r="D588" s="8"/>
      <c r="E588" s="8"/>
      <c r="F588" s="4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ht="15.75" customHeight="1">
      <c r="A589" s="4"/>
      <c r="B589" s="4"/>
      <c r="C589" s="4"/>
      <c r="D589" s="8"/>
      <c r="E589" s="8"/>
      <c r="F589" s="4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ht="15.75" customHeight="1">
      <c r="A590" s="4"/>
      <c r="B590" s="4"/>
      <c r="C590" s="4"/>
      <c r="D590" s="8"/>
      <c r="E590" s="8"/>
      <c r="F590" s="4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ht="15.75" customHeight="1">
      <c r="A591" s="4"/>
      <c r="B591" s="4"/>
      <c r="C591" s="4"/>
      <c r="D591" s="8"/>
      <c r="E591" s="8"/>
      <c r="F591" s="4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ht="15.75" customHeight="1">
      <c r="A592" s="4"/>
      <c r="B592" s="4"/>
      <c r="C592" s="4"/>
      <c r="D592" s="8"/>
      <c r="E592" s="8"/>
      <c r="F592" s="4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ht="15.75" customHeight="1">
      <c r="A593" s="4"/>
      <c r="B593" s="4"/>
      <c r="C593" s="4"/>
      <c r="D593" s="8"/>
      <c r="E593" s="8"/>
      <c r="F593" s="4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ht="15.75" customHeight="1">
      <c r="A594" s="4"/>
      <c r="B594" s="4"/>
      <c r="C594" s="4"/>
      <c r="D594" s="8"/>
      <c r="E594" s="8"/>
      <c r="F594" s="4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ht="15.75" customHeight="1">
      <c r="A595" s="4"/>
      <c r="B595" s="4"/>
      <c r="C595" s="4"/>
      <c r="D595" s="8"/>
      <c r="E595" s="8"/>
      <c r="F595" s="4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ht="15.75" customHeight="1">
      <c r="A596" s="4"/>
      <c r="B596" s="4"/>
      <c r="C596" s="4"/>
      <c r="D596" s="8"/>
      <c r="E596" s="8"/>
      <c r="F596" s="4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ht="15.75" customHeight="1">
      <c r="A597" s="4"/>
      <c r="B597" s="4"/>
      <c r="C597" s="4"/>
      <c r="D597" s="8"/>
      <c r="E597" s="8"/>
      <c r="F597" s="4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ht="15.75" customHeight="1">
      <c r="A598" s="4"/>
      <c r="B598" s="4"/>
      <c r="C598" s="4"/>
      <c r="D598" s="8"/>
      <c r="E598" s="8"/>
      <c r="F598" s="4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ht="15.75" customHeight="1">
      <c r="A599" s="4"/>
      <c r="B599" s="4"/>
      <c r="C599" s="4"/>
      <c r="D599" s="8"/>
      <c r="E599" s="8"/>
      <c r="F599" s="4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ht="15.75" customHeight="1">
      <c r="A600" s="5"/>
      <c r="B600" s="5"/>
      <c r="C600" s="5"/>
      <c r="D600" s="5"/>
      <c r="E600" s="5"/>
      <c r="F600" s="6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ht="15.75" customHeight="1">
      <c r="A601" s="4"/>
      <c r="B601" s="4"/>
      <c r="C601" s="4"/>
      <c r="D601" s="4"/>
      <c r="E601" s="4"/>
      <c r="F601" s="4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ht="15.75" customHeight="1">
      <c r="A602" s="4"/>
      <c r="B602" s="4"/>
      <c r="C602" s="4"/>
      <c r="D602" s="4"/>
      <c r="E602" s="4"/>
      <c r="F602" s="4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ht="15.75" customHeight="1">
      <c r="A603" s="4"/>
      <c r="B603" s="4"/>
      <c r="C603" s="4"/>
      <c r="D603" s="4"/>
      <c r="E603" s="4"/>
      <c r="F603" s="4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ht="15.75" customHeight="1">
      <c r="A604" s="4"/>
      <c r="B604" s="4"/>
      <c r="C604" s="4"/>
      <c r="D604" s="4"/>
      <c r="E604" s="4"/>
      <c r="F604" s="4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ht="15.75" customHeight="1">
      <c r="A605" s="4"/>
      <c r="B605" s="4"/>
      <c r="C605" s="4"/>
      <c r="D605" s="4"/>
      <c r="E605" s="4"/>
      <c r="F605" s="4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ht="15.75" customHeight="1">
      <c r="A606" s="4"/>
      <c r="B606" s="4"/>
      <c r="C606" s="4"/>
      <c r="D606" s="4"/>
      <c r="E606" s="4"/>
      <c r="F606" s="4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ht="15.75" customHeight="1">
      <c r="A607" s="4"/>
      <c r="B607" s="4"/>
      <c r="C607" s="4"/>
      <c r="D607" s="4"/>
      <c r="E607" s="4"/>
      <c r="F607" s="4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ht="15.75" customHeight="1">
      <c r="A608" s="4"/>
      <c r="B608" s="4"/>
      <c r="C608" s="4"/>
      <c r="D608" s="4"/>
      <c r="E608" s="4"/>
      <c r="F608" s="4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ht="15.75" customHeight="1">
      <c r="A609" s="4"/>
      <c r="B609" s="4"/>
      <c r="C609" s="4"/>
      <c r="D609" s="4"/>
      <c r="E609" s="4"/>
      <c r="F609" s="4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ht="15.75" customHeight="1">
      <c r="A610" s="4"/>
      <c r="B610" s="4"/>
      <c r="C610" s="4"/>
      <c r="D610" s="4"/>
      <c r="E610" s="4"/>
      <c r="F610" s="4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ht="15.75" customHeight="1">
      <c r="A611" s="4"/>
      <c r="B611" s="4"/>
      <c r="C611" s="4"/>
      <c r="D611" s="4"/>
      <c r="E611" s="4"/>
      <c r="F611" s="4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ht="15.75" customHeight="1">
      <c r="A612" s="4"/>
      <c r="B612" s="4"/>
      <c r="C612" s="4"/>
      <c r="D612" s="4"/>
      <c r="E612" s="4"/>
      <c r="F612" s="4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ht="15.75" customHeight="1">
      <c r="A613" s="4"/>
      <c r="B613" s="4"/>
      <c r="C613" s="4"/>
      <c r="D613" s="4"/>
      <c r="E613" s="4"/>
      <c r="F613" s="4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ht="15.75" customHeight="1">
      <c r="A614" s="4"/>
      <c r="B614" s="4"/>
      <c r="C614" s="4"/>
      <c r="D614" s="4"/>
      <c r="E614" s="4"/>
      <c r="F614" s="4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ht="15.75" customHeight="1">
      <c r="A615" s="4"/>
      <c r="B615" s="4"/>
      <c r="C615" s="4"/>
      <c r="D615" s="4"/>
      <c r="E615" s="4"/>
      <c r="F615" s="4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ht="15.75" customHeight="1">
      <c r="A616" s="4"/>
      <c r="B616" s="4"/>
      <c r="C616" s="4"/>
      <c r="D616" s="4"/>
      <c r="E616" s="4"/>
      <c r="F616" s="4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ht="15.75" customHeight="1">
      <c r="A617" s="4"/>
      <c r="B617" s="4"/>
      <c r="C617" s="4"/>
      <c r="D617" s="4"/>
      <c r="E617" s="4"/>
      <c r="F617" s="4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ht="15.75" customHeight="1">
      <c r="A618" s="4"/>
      <c r="B618" s="4"/>
      <c r="C618" s="4"/>
      <c r="D618" s="4"/>
      <c r="E618" s="4"/>
      <c r="F618" s="4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ht="15.75" customHeight="1">
      <c r="A619" s="4"/>
      <c r="B619" s="4"/>
      <c r="C619" s="4"/>
      <c r="D619" s="4"/>
      <c r="E619" s="4"/>
      <c r="F619" s="4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ht="15.75" customHeight="1">
      <c r="A620" s="4"/>
      <c r="B620" s="4"/>
      <c r="C620" s="4"/>
      <c r="D620" s="4"/>
      <c r="E620" s="4"/>
      <c r="F620" s="4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ht="15.75" customHeight="1">
      <c r="A621" s="4"/>
      <c r="B621" s="4"/>
      <c r="C621" s="4"/>
      <c r="D621" s="4"/>
      <c r="E621" s="4"/>
      <c r="F621" s="4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ht="15.75" customHeight="1">
      <c r="A622" s="4"/>
      <c r="B622" s="4"/>
      <c r="C622" s="4"/>
      <c r="D622" s="4"/>
      <c r="E622" s="4"/>
      <c r="F622" s="4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ht="15.75" customHeight="1">
      <c r="A623" s="4"/>
      <c r="B623" s="4"/>
      <c r="C623" s="4"/>
      <c r="D623" s="4"/>
      <c r="E623" s="4"/>
      <c r="F623" s="4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ht="15.75" customHeight="1">
      <c r="A624" s="4"/>
      <c r="B624" s="4"/>
      <c r="C624" s="4"/>
      <c r="D624" s="4"/>
      <c r="E624" s="4"/>
      <c r="F624" s="4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ht="15.75" customHeight="1">
      <c r="A625" s="4"/>
      <c r="B625" s="4"/>
      <c r="C625" s="4"/>
      <c r="D625" s="4"/>
      <c r="E625" s="4"/>
      <c r="F625" s="4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ht="15.75" customHeight="1">
      <c r="A626" s="4"/>
      <c r="B626" s="4"/>
      <c r="C626" s="4"/>
      <c r="D626" s="4"/>
      <c r="E626" s="4"/>
      <c r="F626" s="4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ht="15.75" customHeight="1">
      <c r="A627" s="4"/>
      <c r="B627" s="4"/>
      <c r="C627" s="4"/>
      <c r="D627" s="4"/>
      <c r="E627" s="4"/>
      <c r="F627" s="4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ht="15.75" customHeight="1">
      <c r="A628" s="4"/>
      <c r="B628" s="4"/>
      <c r="C628" s="4"/>
      <c r="D628" s="4"/>
      <c r="E628" s="4"/>
      <c r="F628" s="4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ht="15.75" customHeight="1">
      <c r="A629" s="4"/>
      <c r="B629" s="4"/>
      <c r="C629" s="4"/>
      <c r="D629" s="4"/>
      <c r="E629" s="4"/>
      <c r="F629" s="4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ht="15.75" customHeight="1">
      <c r="A630" s="4"/>
      <c r="B630" s="4"/>
      <c r="C630" s="4"/>
      <c r="D630" s="4"/>
      <c r="E630" s="4"/>
      <c r="F630" s="4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ht="15.75" customHeight="1">
      <c r="A631" s="4"/>
      <c r="B631" s="4"/>
      <c r="C631" s="4"/>
      <c r="D631" s="4"/>
      <c r="E631" s="4"/>
      <c r="F631" s="4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ht="15.75" customHeight="1">
      <c r="A632" s="4"/>
      <c r="B632" s="4"/>
      <c r="C632" s="4"/>
      <c r="D632" s="4"/>
      <c r="E632" s="4"/>
      <c r="F632" s="4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ht="15.75" customHeight="1">
      <c r="A633" s="5"/>
      <c r="B633" s="5"/>
      <c r="C633" s="5"/>
      <c r="D633" s="5"/>
      <c r="E633" s="5"/>
      <c r="F633" s="6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ht="15.75" customHeight="1">
      <c r="A634" s="4"/>
      <c r="B634" s="4"/>
      <c r="C634" s="4"/>
      <c r="D634" s="8"/>
      <c r="E634" s="8"/>
      <c r="F634" s="4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ht="15.75" customHeight="1">
      <c r="A635" s="4"/>
      <c r="B635" s="4"/>
      <c r="C635" s="4"/>
      <c r="D635" s="4"/>
      <c r="E635" s="4"/>
      <c r="F635" s="4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ht="15.75" customHeight="1">
      <c r="A636" s="4"/>
      <c r="B636" s="4"/>
      <c r="C636" s="4"/>
      <c r="D636" s="4"/>
      <c r="E636" s="4"/>
      <c r="F636" s="4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ht="15.75" customHeight="1">
      <c r="A637" s="4"/>
      <c r="B637" s="4"/>
      <c r="C637" s="4"/>
      <c r="D637" s="4"/>
      <c r="E637" s="4"/>
      <c r="F637" s="4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ht="15.75" customHeight="1">
      <c r="A638" s="4"/>
      <c r="B638" s="4"/>
      <c r="C638" s="4"/>
      <c r="D638" s="4"/>
      <c r="E638" s="4"/>
      <c r="F638" s="4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ht="15.75" customHeight="1">
      <c r="A639" s="4"/>
      <c r="B639" s="4"/>
      <c r="C639" s="4"/>
      <c r="D639" s="4"/>
      <c r="E639" s="4"/>
      <c r="F639" s="4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ht="15.75" customHeight="1">
      <c r="A640" s="4"/>
      <c r="B640" s="4"/>
      <c r="C640" s="4"/>
      <c r="D640" s="4"/>
      <c r="E640" s="4"/>
      <c r="F640" s="4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ht="15.75" customHeight="1">
      <c r="A641" s="4"/>
      <c r="B641" s="4"/>
      <c r="C641" s="4"/>
      <c r="D641" s="4"/>
      <c r="E641" s="4"/>
      <c r="F641" s="4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ht="15.75" customHeight="1">
      <c r="A642" s="4"/>
      <c r="B642" s="4"/>
      <c r="C642" s="4"/>
      <c r="D642" s="4"/>
      <c r="E642" s="4"/>
      <c r="F642" s="4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ht="15.75" customHeight="1">
      <c r="A643" s="4"/>
      <c r="B643" s="4"/>
      <c r="C643" s="4"/>
      <c r="D643" s="4"/>
      <c r="E643" s="4"/>
      <c r="F643" s="4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ht="15.75" customHeight="1">
      <c r="A644" s="4"/>
      <c r="B644" s="4"/>
      <c r="C644" s="4"/>
      <c r="D644" s="4"/>
      <c r="E644" s="4"/>
      <c r="F644" s="4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ht="15.75" customHeight="1">
      <c r="A645" s="4"/>
      <c r="B645" s="4"/>
      <c r="C645" s="4"/>
      <c r="D645" s="4"/>
      <c r="E645" s="4"/>
      <c r="F645" s="4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ht="15.75" customHeight="1">
      <c r="A646" s="4"/>
      <c r="B646" s="4"/>
      <c r="C646" s="4"/>
      <c r="D646" s="4"/>
      <c r="E646" s="4"/>
      <c r="F646" s="4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ht="15.75" customHeight="1">
      <c r="A647" s="4"/>
      <c r="B647" s="4"/>
      <c r="C647" s="4"/>
      <c r="D647" s="4"/>
      <c r="E647" s="4"/>
      <c r="F647" s="4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ht="15.75" customHeight="1">
      <c r="A648" s="4"/>
      <c r="B648" s="4"/>
      <c r="C648" s="4"/>
      <c r="D648" s="4"/>
      <c r="E648" s="4"/>
      <c r="F648" s="4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ht="15.75" customHeight="1">
      <c r="A649" s="4"/>
      <c r="B649" s="4"/>
      <c r="C649" s="4"/>
      <c r="D649" s="4"/>
      <c r="E649" s="4"/>
      <c r="F649" s="4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ht="15.75" customHeight="1">
      <c r="A650" s="4"/>
      <c r="B650" s="4"/>
      <c r="C650" s="4"/>
      <c r="D650" s="4"/>
      <c r="E650" s="4"/>
      <c r="F650" s="4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ht="15.75" customHeight="1">
      <c r="A651" s="5"/>
      <c r="B651" s="5"/>
      <c r="C651" s="5"/>
      <c r="D651" s="5"/>
      <c r="E651" s="5"/>
      <c r="F651" s="6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ht="15.75" customHeight="1">
      <c r="A652" s="4"/>
      <c r="B652" s="4"/>
      <c r="C652" s="4"/>
      <c r="D652" s="4"/>
      <c r="E652" s="4"/>
      <c r="F652" s="4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ht="15.75" customHeight="1">
      <c r="A653" s="4"/>
      <c r="B653" s="4"/>
      <c r="C653" s="4"/>
      <c r="D653" s="4"/>
      <c r="E653" s="4"/>
      <c r="F653" s="4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ht="15.75" customHeight="1">
      <c r="A654" s="4"/>
      <c r="B654" s="4"/>
      <c r="C654" s="4"/>
      <c r="D654" s="4"/>
      <c r="E654" s="4"/>
      <c r="F654" s="4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ht="15.75" customHeight="1">
      <c r="A655" s="4"/>
      <c r="B655" s="4"/>
      <c r="C655" s="4"/>
      <c r="D655" s="4"/>
      <c r="E655" s="4"/>
      <c r="F655" s="4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ht="15.75" customHeight="1">
      <c r="A656" s="4"/>
      <c r="B656" s="4"/>
      <c r="C656" s="4"/>
      <c r="D656" s="4"/>
      <c r="E656" s="4"/>
      <c r="F656" s="4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ht="15.75" customHeight="1">
      <c r="A657" s="4"/>
      <c r="B657" s="4"/>
      <c r="C657" s="4"/>
      <c r="D657" s="4"/>
      <c r="E657" s="4"/>
      <c r="F657" s="4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ht="15.75" customHeight="1">
      <c r="A658" s="4"/>
      <c r="B658" s="4"/>
      <c r="C658" s="4"/>
      <c r="D658" s="4"/>
      <c r="E658" s="4"/>
      <c r="F658" s="4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ht="15.75" customHeight="1">
      <c r="A659" s="4"/>
      <c r="B659" s="4"/>
      <c r="C659" s="4"/>
      <c r="D659" s="4"/>
      <c r="E659" s="4"/>
      <c r="F659" s="4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ht="15.75" customHeight="1">
      <c r="A660" s="4"/>
      <c r="B660" s="4"/>
      <c r="C660" s="4"/>
      <c r="D660" s="4"/>
      <c r="E660" s="4"/>
      <c r="F660" s="4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ht="15.75" customHeight="1">
      <c r="A661" s="4"/>
      <c r="B661" s="4"/>
      <c r="C661" s="4"/>
      <c r="D661" s="4"/>
      <c r="E661" s="4"/>
      <c r="F661" s="4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ht="15.75" customHeight="1">
      <c r="A662" s="4"/>
      <c r="B662" s="4"/>
      <c r="C662" s="4"/>
      <c r="D662" s="4"/>
      <c r="E662" s="4"/>
      <c r="F662" s="4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ht="15.75" customHeight="1">
      <c r="A663" s="5"/>
      <c r="B663" s="5"/>
      <c r="C663" s="5"/>
      <c r="D663" s="5"/>
      <c r="E663" s="5"/>
      <c r="F663" s="6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ht="15.75" customHeight="1">
      <c r="A664" s="4"/>
      <c r="B664" s="4"/>
      <c r="C664" s="4"/>
      <c r="D664" s="4"/>
      <c r="E664" s="4"/>
      <c r="F664" s="4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ht="15.75" customHeight="1">
      <c r="A665" s="4"/>
      <c r="B665" s="4"/>
      <c r="C665" s="4"/>
      <c r="D665" s="4"/>
      <c r="E665" s="4"/>
      <c r="F665" s="4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ht="15.75" customHeight="1">
      <c r="A666" s="4"/>
      <c r="B666" s="4"/>
      <c r="C666" s="4"/>
      <c r="D666" s="4"/>
      <c r="E666" s="4"/>
      <c r="F666" s="4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ht="15.75" customHeight="1">
      <c r="A667" s="4"/>
      <c r="B667" s="4"/>
      <c r="C667" s="4"/>
      <c r="D667" s="4"/>
      <c r="E667" s="4"/>
      <c r="F667" s="4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ht="15.75" customHeight="1">
      <c r="A668" s="4"/>
      <c r="B668" s="4"/>
      <c r="C668" s="4"/>
      <c r="D668" s="4"/>
      <c r="E668" s="4"/>
      <c r="F668" s="4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ht="15.75" customHeight="1">
      <c r="A669" s="5"/>
      <c r="B669" s="5"/>
      <c r="C669" s="5"/>
      <c r="D669" s="5"/>
      <c r="E669" s="5"/>
      <c r="F669" s="6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</sheetData>
  <printOptions/>
  <pageMargins bottom="0.3" footer="0.0" header="0.0" left="0.7" right="0.7" top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31.25"/>
    <col customWidth="1" min="3" max="3" width="13.88"/>
    <col customWidth="1" min="4" max="5" width="15.0"/>
    <col customWidth="1" min="6" max="6" width="21.13"/>
    <col customWidth="1" min="7" max="11" width="9.38"/>
    <col customWidth="1" min="12" max="23" width="8.63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>
      <c r="A4" s="5" t="s">
        <v>68</v>
      </c>
      <c r="B4" s="5" t="s">
        <v>2</v>
      </c>
      <c r="C4" s="5" t="s">
        <v>3</v>
      </c>
      <c r="D4" s="5" t="s">
        <v>4</v>
      </c>
      <c r="E4" s="5" t="s">
        <v>5</v>
      </c>
      <c r="F4" s="6" t="s">
        <v>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>
      <c r="A5" s="4">
        <v>10.0</v>
      </c>
      <c r="B5" s="4" t="s">
        <v>271</v>
      </c>
      <c r="C5" s="4">
        <v>0.5</v>
      </c>
      <c r="D5" s="8"/>
      <c r="E5" s="8">
        <v>100.0</v>
      </c>
      <c r="F5" s="4" t="s">
        <v>17</v>
      </c>
      <c r="G5" s="4"/>
      <c r="H5" s="4"/>
      <c r="I5" s="4"/>
      <c r="J5" s="4"/>
      <c r="K5" s="4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>
      <c r="A6" s="4">
        <v>10.0</v>
      </c>
      <c r="B6" s="4" t="s">
        <v>271</v>
      </c>
      <c r="C6" s="4">
        <v>0.5</v>
      </c>
      <c r="D6" s="8">
        <v>110.0</v>
      </c>
      <c r="E6" s="8"/>
      <c r="F6" s="4" t="s">
        <v>43</v>
      </c>
      <c r="G6" s="4"/>
      <c r="H6" s="4"/>
      <c r="I6" s="4"/>
      <c r="J6" s="4"/>
      <c r="K6" s="4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A7" s="4">
        <v>10.0</v>
      </c>
      <c r="B7" s="4" t="s">
        <v>272</v>
      </c>
      <c r="C7" s="4">
        <v>0.05</v>
      </c>
      <c r="D7" s="8"/>
      <c r="E7" s="8">
        <v>100.0</v>
      </c>
      <c r="F7" s="4" t="s">
        <v>17</v>
      </c>
      <c r="G7" s="4"/>
      <c r="H7" s="4"/>
      <c r="I7" s="4"/>
      <c r="J7" s="4"/>
      <c r="K7" s="4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>
      <c r="A8" s="4">
        <v>7.0</v>
      </c>
      <c r="B8" s="4" t="s">
        <v>272</v>
      </c>
      <c r="C8" s="4">
        <v>0.05</v>
      </c>
      <c r="D8" s="8">
        <v>110.0</v>
      </c>
      <c r="E8" s="8"/>
      <c r="F8" s="4" t="s">
        <v>43</v>
      </c>
      <c r="G8" s="4"/>
      <c r="H8" s="4"/>
      <c r="I8" s="4"/>
      <c r="J8" s="4"/>
      <c r="K8" s="4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>
      <c r="A9" s="4">
        <v>1.0</v>
      </c>
      <c r="B9" s="4" t="s">
        <v>273</v>
      </c>
      <c r="C9" s="4">
        <v>2.285</v>
      </c>
      <c r="D9" s="8"/>
      <c r="E9" s="8">
        <f>(C9*285)</f>
        <v>651.225</v>
      </c>
      <c r="F9" s="4" t="s">
        <v>17</v>
      </c>
      <c r="G9" s="4"/>
      <c r="H9" s="4"/>
      <c r="I9" s="4"/>
      <c r="J9" s="4"/>
      <c r="K9" s="4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>
      <c r="A10" s="4">
        <v>1.0</v>
      </c>
      <c r="B10" s="4" t="s">
        <v>273</v>
      </c>
      <c r="C10" s="21">
        <v>1.42</v>
      </c>
      <c r="D10" s="8">
        <f t="shared" ref="D10:D11" si="1">(C10*330)</f>
        <v>468.6</v>
      </c>
      <c r="E10" s="8"/>
      <c r="F10" s="4" t="s">
        <v>43</v>
      </c>
      <c r="G10" s="4"/>
      <c r="H10" s="4"/>
      <c r="I10" s="4"/>
      <c r="J10" s="4"/>
      <c r="K10" s="4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>
      <c r="A11" s="4">
        <v>1.0</v>
      </c>
      <c r="B11" s="4" t="s">
        <v>273</v>
      </c>
      <c r="C11" s="21">
        <v>2.08</v>
      </c>
      <c r="D11" s="8">
        <f t="shared" si="1"/>
        <v>686.4</v>
      </c>
      <c r="E11" s="8"/>
      <c r="F11" s="4" t="s">
        <v>43</v>
      </c>
      <c r="G11" s="4"/>
      <c r="H11" s="4"/>
      <c r="I11" s="4"/>
      <c r="J11" s="4"/>
      <c r="K11" s="4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>
      <c r="A12" s="4">
        <v>4.0</v>
      </c>
      <c r="B12" s="4" t="s">
        <v>65</v>
      </c>
      <c r="C12" s="4">
        <v>0.05</v>
      </c>
      <c r="D12" s="8">
        <v>230.0</v>
      </c>
      <c r="E12" s="8"/>
      <c r="F12" s="4" t="s">
        <v>43</v>
      </c>
      <c r="G12" s="4"/>
      <c r="H12" s="4"/>
      <c r="I12" s="4"/>
      <c r="J12" s="4"/>
      <c r="K12" s="4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>
      <c r="A13" s="4">
        <v>4.0</v>
      </c>
      <c r="B13" s="4" t="s">
        <v>65</v>
      </c>
      <c r="C13" s="4">
        <v>0.05</v>
      </c>
      <c r="D13" s="8"/>
      <c r="E13" s="8">
        <v>190.0</v>
      </c>
      <c r="F13" s="4" t="s">
        <v>17</v>
      </c>
      <c r="G13" s="4"/>
      <c r="H13" s="4"/>
      <c r="I13" s="4"/>
      <c r="J13" s="4"/>
      <c r="K13" s="4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>
      <c r="A14" s="4">
        <v>0.0</v>
      </c>
      <c r="B14" s="4" t="s">
        <v>274</v>
      </c>
      <c r="C14" s="4">
        <v>0.5</v>
      </c>
      <c r="D14" s="8">
        <v>200.0</v>
      </c>
      <c r="E14" s="8"/>
      <c r="F14" s="4" t="s">
        <v>43</v>
      </c>
      <c r="G14" s="4"/>
      <c r="H14" s="4"/>
      <c r="I14" s="4"/>
      <c r="J14" s="4"/>
      <c r="K14" s="4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>
      <c r="A15" s="4">
        <v>0.0</v>
      </c>
      <c r="B15" s="4" t="s">
        <v>274</v>
      </c>
      <c r="C15" s="4">
        <v>0.5</v>
      </c>
      <c r="D15" s="8"/>
      <c r="E15" s="8">
        <v>190.0</v>
      </c>
      <c r="F15" s="4" t="s">
        <v>17</v>
      </c>
      <c r="G15" s="4"/>
      <c r="H15" s="4"/>
      <c r="I15" s="4"/>
      <c r="J15" s="4"/>
      <c r="K15" s="4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>
      <c r="A16" s="4">
        <v>1.0</v>
      </c>
      <c r="B16" s="4" t="s">
        <v>275</v>
      </c>
      <c r="C16" s="4">
        <v>0.53</v>
      </c>
      <c r="D16" s="8">
        <f>(C16*330)</f>
        <v>174.9</v>
      </c>
      <c r="E16" s="8"/>
      <c r="F16" s="4" t="s">
        <v>17</v>
      </c>
      <c r="G16" s="4"/>
      <c r="H16" s="4"/>
      <c r="I16" s="4"/>
      <c r="J16" s="4"/>
      <c r="K16" s="4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>
      <c r="A17" s="4">
        <v>1.0</v>
      </c>
      <c r="B17" s="4" t="s">
        <v>275</v>
      </c>
      <c r="C17" s="21">
        <v>0.58</v>
      </c>
      <c r="D17" s="15">
        <v>165.0</v>
      </c>
      <c r="E17" s="8"/>
      <c r="F17" s="4" t="s">
        <v>43</v>
      </c>
      <c r="G17" s="4"/>
      <c r="H17" s="4"/>
      <c r="I17" s="4"/>
      <c r="J17" s="4"/>
      <c r="K17" s="4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>
      <c r="A18" s="4">
        <v>1.0</v>
      </c>
      <c r="B18" s="4" t="s">
        <v>275</v>
      </c>
      <c r="C18" s="4">
        <v>0.555</v>
      </c>
      <c r="D18" s="8">
        <f>(C18*330)</f>
        <v>183.15</v>
      </c>
      <c r="E18" s="8"/>
      <c r="F18" s="4" t="s">
        <v>17</v>
      </c>
      <c r="G18" s="4"/>
      <c r="H18" s="4"/>
      <c r="I18" s="4"/>
      <c r="J18" s="4"/>
      <c r="K18" s="4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>
      <c r="A19" s="4">
        <v>1.0</v>
      </c>
      <c r="B19" s="4" t="s">
        <v>276</v>
      </c>
      <c r="C19" s="4">
        <v>1.83</v>
      </c>
      <c r="D19" s="8"/>
      <c r="E19" s="8">
        <f t="shared" ref="E19:E20" si="2">(C19*272)</f>
        <v>497.76</v>
      </c>
      <c r="F19" s="4" t="s">
        <v>17</v>
      </c>
      <c r="G19" s="4"/>
      <c r="H19" s="4"/>
      <c r="I19" s="4"/>
      <c r="J19" s="4"/>
      <c r="K19" s="4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>
      <c r="A20" s="4">
        <v>1.0</v>
      </c>
      <c r="B20" s="4" t="s">
        <v>276</v>
      </c>
      <c r="C20" s="4">
        <v>1.765</v>
      </c>
      <c r="D20" s="8"/>
      <c r="E20" s="8">
        <f t="shared" si="2"/>
        <v>480.08</v>
      </c>
      <c r="F20" s="4" t="s">
        <v>17</v>
      </c>
      <c r="G20" s="4"/>
      <c r="H20" s="4"/>
      <c r="I20" s="4"/>
      <c r="J20" s="4"/>
      <c r="K20" s="4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ht="15.75" customHeight="1">
      <c r="A21" s="4">
        <v>1.0</v>
      </c>
      <c r="B21" s="4" t="s">
        <v>276</v>
      </c>
      <c r="C21" s="21">
        <v>1.31</v>
      </c>
      <c r="D21" s="8">
        <f t="shared" ref="D21:D22" si="3">(C21*320)</f>
        <v>419.2</v>
      </c>
      <c r="E21" s="8"/>
      <c r="F21" s="4" t="s">
        <v>43</v>
      </c>
      <c r="G21" s="4"/>
      <c r="H21" s="4"/>
      <c r="I21" s="4"/>
      <c r="J21" s="4"/>
      <c r="K21" s="4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ht="15.75" customHeight="1">
      <c r="A22" s="4">
        <v>1.0</v>
      </c>
      <c r="B22" s="4" t="s">
        <v>276</v>
      </c>
      <c r="C22" s="21">
        <v>1.555</v>
      </c>
      <c r="D22" s="8">
        <f t="shared" si="3"/>
        <v>497.6</v>
      </c>
      <c r="E22" s="8"/>
      <c r="F22" s="4" t="s">
        <v>43</v>
      </c>
      <c r="G22" s="4"/>
      <c r="H22" s="4"/>
      <c r="I22" s="4"/>
      <c r="J22" s="4"/>
      <c r="K22" s="4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ht="15.75" customHeight="1">
      <c r="A23" s="4">
        <v>10.0</v>
      </c>
      <c r="B23" s="4" t="s">
        <v>277</v>
      </c>
      <c r="C23" s="4">
        <v>0.5</v>
      </c>
      <c r="D23" s="8"/>
      <c r="E23" s="8">
        <v>103.0</v>
      </c>
      <c r="F23" s="4" t="s">
        <v>17</v>
      </c>
      <c r="G23" s="4"/>
      <c r="H23" s="4"/>
      <c r="I23" s="4"/>
      <c r="J23" s="4"/>
      <c r="K23" s="4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ht="15.75" customHeight="1">
      <c r="A24" s="4">
        <v>7.0</v>
      </c>
      <c r="B24" s="4" t="s">
        <v>277</v>
      </c>
      <c r="C24" s="4">
        <v>0.5</v>
      </c>
      <c r="D24" s="8">
        <v>120.0</v>
      </c>
      <c r="E24" s="8"/>
      <c r="F24" s="4" t="s">
        <v>43</v>
      </c>
      <c r="G24" s="4"/>
      <c r="H24" s="4"/>
      <c r="I24" s="4"/>
      <c r="J24" s="4"/>
      <c r="K24" s="4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ht="15.75" customHeight="1">
      <c r="A25" s="4">
        <v>1.0</v>
      </c>
      <c r="B25" s="4" t="s">
        <v>278</v>
      </c>
      <c r="C25" s="4">
        <v>0.5</v>
      </c>
      <c r="D25" s="8"/>
      <c r="E25" s="8">
        <f>(C25*250)</f>
        <v>125</v>
      </c>
      <c r="F25" s="4" t="s">
        <v>17</v>
      </c>
      <c r="G25" s="4"/>
      <c r="H25" s="4"/>
      <c r="I25" s="4"/>
      <c r="J25" s="4"/>
      <c r="K25" s="4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ht="15.75" customHeight="1">
      <c r="A26" s="4">
        <v>0.0</v>
      </c>
      <c r="B26" s="4" t="s">
        <v>278</v>
      </c>
      <c r="C26" s="4">
        <v>0.5</v>
      </c>
      <c r="D26" s="8">
        <v>290.0</v>
      </c>
      <c r="E26" s="8"/>
      <c r="F26" s="4" t="s">
        <v>43</v>
      </c>
      <c r="G26" s="4"/>
      <c r="H26" s="4"/>
      <c r="I26" s="4"/>
      <c r="J26" s="4"/>
      <c r="K26" s="4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ht="15.75" customHeight="1">
      <c r="A27" s="4">
        <v>2.0</v>
      </c>
      <c r="B27" s="4" t="s">
        <v>279</v>
      </c>
      <c r="C27" s="4">
        <v>0.5</v>
      </c>
      <c r="D27" s="8"/>
      <c r="E27" s="8">
        <v>90.0</v>
      </c>
      <c r="F27" s="4" t="s">
        <v>17</v>
      </c>
      <c r="G27" s="4"/>
      <c r="H27" s="4"/>
      <c r="I27" s="4"/>
      <c r="J27" s="4"/>
      <c r="K27" s="4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ht="15.75" customHeight="1">
      <c r="A28" s="4">
        <v>1.0</v>
      </c>
      <c r="B28" s="4" t="s">
        <v>279</v>
      </c>
      <c r="C28" s="4">
        <v>0.5</v>
      </c>
      <c r="D28" s="8">
        <v>100.0</v>
      </c>
      <c r="E28" s="8"/>
      <c r="F28" s="4" t="s">
        <v>43</v>
      </c>
      <c r="G28" s="4"/>
      <c r="H28" s="4"/>
      <c r="I28" s="4"/>
      <c r="J28" s="4"/>
      <c r="K28" s="4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ht="15.75" customHeight="1">
      <c r="A29" s="4">
        <v>1.0</v>
      </c>
      <c r="B29" s="4" t="s">
        <v>280</v>
      </c>
      <c r="C29" s="4"/>
      <c r="D29" s="8"/>
      <c r="E29" s="8">
        <v>160.0</v>
      </c>
      <c r="F29" s="4" t="s">
        <v>17</v>
      </c>
      <c r="G29" s="4"/>
      <c r="H29" s="4"/>
      <c r="I29" s="4"/>
      <c r="J29" s="4"/>
      <c r="K29" s="4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ht="15.75" customHeight="1">
      <c r="A30" s="4">
        <v>1.0</v>
      </c>
      <c r="B30" s="4" t="s">
        <v>280</v>
      </c>
      <c r="C30" s="4"/>
      <c r="D30" s="8">
        <v>180.0</v>
      </c>
      <c r="E30" s="8"/>
      <c r="F30" s="4" t="s">
        <v>43</v>
      </c>
      <c r="G30" s="4"/>
      <c r="H30" s="4"/>
      <c r="I30" s="4"/>
      <c r="J30" s="4"/>
      <c r="K30" s="4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ht="15.75" customHeight="1">
      <c r="A31" s="4">
        <v>3.0</v>
      </c>
      <c r="B31" s="4" t="s">
        <v>281</v>
      </c>
      <c r="C31" s="4">
        <v>0.25</v>
      </c>
      <c r="D31" s="8"/>
      <c r="E31" s="8">
        <f>(0.25*650)</f>
        <v>162.5</v>
      </c>
      <c r="F31" s="4" t="s">
        <v>17</v>
      </c>
      <c r="G31" s="4"/>
      <c r="H31" s="4"/>
      <c r="I31" s="4"/>
      <c r="J31" s="4"/>
      <c r="K31" s="4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ht="15.75" customHeight="1">
      <c r="A32" s="4">
        <v>3.0</v>
      </c>
      <c r="B32" s="4" t="s">
        <v>281</v>
      </c>
      <c r="C32" s="4">
        <v>0.25</v>
      </c>
      <c r="D32" s="8">
        <f>(C32*750)</f>
        <v>187.5</v>
      </c>
      <c r="E32" s="8"/>
      <c r="F32" s="4" t="s">
        <v>43</v>
      </c>
      <c r="G32" s="4"/>
      <c r="H32" s="4"/>
      <c r="I32" s="4"/>
      <c r="J32" s="4"/>
      <c r="K32" s="4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ht="15.75" customHeight="1">
      <c r="A33" s="4">
        <v>4.0</v>
      </c>
      <c r="B33" s="4" t="s">
        <v>282</v>
      </c>
      <c r="C33" s="4">
        <v>0.25</v>
      </c>
      <c r="D33" s="8"/>
      <c r="E33" s="8">
        <f>(C33*600)</f>
        <v>150</v>
      </c>
      <c r="F33" s="4" t="s">
        <v>17</v>
      </c>
      <c r="G33" s="4"/>
      <c r="H33" s="4"/>
      <c r="I33" s="4"/>
      <c r="J33" s="4"/>
      <c r="K33" s="4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ht="15.75" customHeight="1">
      <c r="A34" s="4">
        <v>4.0</v>
      </c>
      <c r="B34" s="4" t="s">
        <v>282</v>
      </c>
      <c r="C34" s="4">
        <v>0.25</v>
      </c>
      <c r="D34" s="8">
        <f>(C34*670)</f>
        <v>167.5</v>
      </c>
      <c r="E34" s="8"/>
      <c r="F34" s="4" t="s">
        <v>43</v>
      </c>
      <c r="G34" s="4"/>
      <c r="H34" s="4"/>
      <c r="I34" s="4"/>
      <c r="J34" s="4"/>
      <c r="K34" s="4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ht="15.75" customHeight="1">
      <c r="A35" s="4">
        <v>20.0</v>
      </c>
      <c r="B35" s="4" t="s">
        <v>283</v>
      </c>
      <c r="C35" s="4">
        <v>0.25</v>
      </c>
      <c r="D35" s="8"/>
      <c r="E35" s="8">
        <f>(C35*600)</f>
        <v>150</v>
      </c>
      <c r="F35" s="4" t="s">
        <v>17</v>
      </c>
      <c r="G35" s="4"/>
      <c r="H35" s="4"/>
      <c r="I35" s="4"/>
      <c r="J35" s="4"/>
      <c r="K35" s="4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ht="15.75" customHeight="1">
      <c r="A36" s="4">
        <v>20.0</v>
      </c>
      <c r="B36" s="4" t="s">
        <v>283</v>
      </c>
      <c r="C36" s="4">
        <v>0.25</v>
      </c>
      <c r="D36" s="8">
        <f>(C36*670)</f>
        <v>167.5</v>
      </c>
      <c r="E36" s="8"/>
      <c r="F36" s="4" t="s">
        <v>43</v>
      </c>
      <c r="G36" s="4"/>
      <c r="H36" s="4"/>
      <c r="I36" s="4"/>
      <c r="J36" s="4"/>
      <c r="K36" s="4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ht="15.75" customHeight="1">
      <c r="A37" s="4">
        <v>20.0</v>
      </c>
      <c r="B37" s="4" t="s">
        <v>284</v>
      </c>
      <c r="C37" s="4">
        <v>0.25</v>
      </c>
      <c r="D37" s="8"/>
      <c r="E37" s="8">
        <f>(C37*650)</f>
        <v>162.5</v>
      </c>
      <c r="F37" s="4" t="s">
        <v>17</v>
      </c>
      <c r="G37" s="4"/>
      <c r="H37" s="4"/>
      <c r="I37" s="4"/>
      <c r="J37" s="4"/>
      <c r="K37" s="4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ht="15.75" customHeight="1">
      <c r="A38" s="4">
        <v>20.0</v>
      </c>
      <c r="B38" s="4" t="s">
        <v>284</v>
      </c>
      <c r="C38" s="4">
        <v>0.25</v>
      </c>
      <c r="D38" s="8">
        <f>(C38*750)</f>
        <v>187.5</v>
      </c>
      <c r="E38" s="8"/>
      <c r="F38" s="4" t="s">
        <v>43</v>
      </c>
      <c r="G38" s="4"/>
      <c r="H38" s="4"/>
      <c r="I38" s="4"/>
      <c r="J38" s="4"/>
      <c r="K38" s="4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ht="15.75" customHeight="1">
      <c r="A39" s="4">
        <v>0.0</v>
      </c>
      <c r="B39" s="4" t="s">
        <v>285</v>
      </c>
      <c r="C39" s="4">
        <v>1.17</v>
      </c>
      <c r="D39" s="8"/>
      <c r="E39" s="8">
        <f>(90*C39)</f>
        <v>105.3</v>
      </c>
      <c r="F39" s="4" t="s">
        <v>17</v>
      </c>
      <c r="G39" s="4"/>
      <c r="H39" s="4"/>
      <c r="I39" s="4"/>
      <c r="J39" s="4"/>
      <c r="K39" s="4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ht="15.75" customHeight="1">
      <c r="A40" s="4">
        <v>1.0</v>
      </c>
      <c r="B40" s="4" t="s">
        <v>285</v>
      </c>
      <c r="C40" s="4">
        <v>1.17</v>
      </c>
      <c r="D40" s="8">
        <f>(C40*909)</f>
        <v>1063.53</v>
      </c>
      <c r="E40" s="8"/>
      <c r="F40" s="4" t="s">
        <v>43</v>
      </c>
      <c r="G40" s="4"/>
      <c r="H40" s="4"/>
      <c r="I40" s="4"/>
      <c r="J40" s="4"/>
      <c r="K40" s="4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ht="15.75" customHeight="1">
      <c r="A41" s="5" t="s">
        <v>68</v>
      </c>
      <c r="B41" s="5" t="s">
        <v>2</v>
      </c>
      <c r="C41" s="5" t="s">
        <v>3</v>
      </c>
      <c r="D41" s="5" t="s">
        <v>4</v>
      </c>
      <c r="E41" s="5" t="s">
        <v>5</v>
      </c>
      <c r="F41" s="6" t="s">
        <v>6</v>
      </c>
      <c r="G41" s="4"/>
      <c r="H41" s="4"/>
      <c r="I41" s="4"/>
      <c r="J41" s="4"/>
      <c r="K41" s="4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ht="15.75" customHeight="1">
      <c r="A42" s="4">
        <v>1.0</v>
      </c>
      <c r="B42" s="4" t="s">
        <v>285</v>
      </c>
      <c r="C42" s="4">
        <v>1.17</v>
      </c>
      <c r="D42" s="8">
        <f>(C42*100)</f>
        <v>117</v>
      </c>
      <c r="E42" s="8"/>
      <c r="F42" s="4" t="s">
        <v>43</v>
      </c>
      <c r="G42" s="4"/>
      <c r="H42" s="4"/>
      <c r="I42" s="4"/>
      <c r="J42" s="4"/>
      <c r="K42" s="4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ht="15.75" customHeight="1">
      <c r="A43" s="4">
        <v>4.0</v>
      </c>
      <c r="B43" s="4" t="s">
        <v>286</v>
      </c>
      <c r="C43" s="4">
        <v>0.1</v>
      </c>
      <c r="D43" s="8"/>
      <c r="E43" s="8">
        <v>100.0</v>
      </c>
      <c r="F43" s="4" t="s">
        <v>17</v>
      </c>
      <c r="G43" s="4"/>
      <c r="H43" s="4"/>
      <c r="I43" s="4"/>
      <c r="J43" s="4"/>
      <c r="K43" s="4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ht="15.75" customHeight="1">
      <c r="A44" s="4">
        <v>4.0</v>
      </c>
      <c r="B44" s="4" t="s">
        <v>286</v>
      </c>
      <c r="C44" s="4">
        <v>0.1</v>
      </c>
      <c r="D44" s="8">
        <v>13.0</v>
      </c>
      <c r="E44" s="8"/>
      <c r="F44" s="4" t="s">
        <v>43</v>
      </c>
      <c r="G44" s="4"/>
      <c r="H44" s="4"/>
      <c r="I44" s="4"/>
      <c r="J44" s="4"/>
      <c r="K44" s="4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ht="15.75" customHeight="1">
      <c r="A45" s="4">
        <v>10.0</v>
      </c>
      <c r="B45" s="4" t="s">
        <v>287</v>
      </c>
      <c r="C45" s="4">
        <v>0.275</v>
      </c>
      <c r="D45" s="8"/>
      <c r="E45" s="8">
        <f>(C45*963)</f>
        <v>264.825</v>
      </c>
      <c r="F45" s="4" t="s">
        <v>17</v>
      </c>
      <c r="G45" s="4"/>
      <c r="H45" s="4"/>
      <c r="I45" s="4"/>
      <c r="J45" s="4"/>
      <c r="K45" s="4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ht="15.75" customHeight="1">
      <c r="A46" s="4">
        <v>7.0</v>
      </c>
      <c r="B46" s="4" t="s">
        <v>287</v>
      </c>
      <c r="C46" s="4">
        <v>0.275</v>
      </c>
      <c r="D46" s="8">
        <f>(C46*963)</f>
        <v>264.825</v>
      </c>
      <c r="E46" s="8"/>
      <c r="F46" s="4" t="s">
        <v>43</v>
      </c>
      <c r="G46" s="4"/>
      <c r="H46" s="4"/>
      <c r="I46" s="4"/>
      <c r="J46" s="4"/>
      <c r="K46" s="4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ht="15.75" customHeight="1">
      <c r="A47" s="4">
        <v>2.0</v>
      </c>
      <c r="B47" s="4" t="s">
        <v>288</v>
      </c>
      <c r="C47" s="4">
        <v>0.23</v>
      </c>
      <c r="D47" s="8"/>
      <c r="E47" s="8">
        <f>(C47*963)</f>
        <v>221.49</v>
      </c>
      <c r="F47" s="4" t="s">
        <v>17</v>
      </c>
      <c r="G47" s="4"/>
      <c r="H47" s="4"/>
      <c r="I47" s="4"/>
      <c r="J47" s="4"/>
      <c r="K47" s="4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ht="15.75" customHeight="1">
      <c r="A48" s="4">
        <v>2.0</v>
      </c>
      <c r="B48" s="4" t="s">
        <v>288</v>
      </c>
      <c r="C48" s="4">
        <v>0.23</v>
      </c>
      <c r="D48" s="8">
        <f>(C48*963)</f>
        <v>221.49</v>
      </c>
      <c r="E48" s="8"/>
      <c r="F48" s="4" t="s">
        <v>43</v>
      </c>
      <c r="G48" s="4"/>
      <c r="H48" s="4"/>
      <c r="I48" s="4"/>
      <c r="J48" s="4"/>
      <c r="K48" s="4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ht="15.75" customHeight="1">
      <c r="A49" s="4">
        <v>7.0</v>
      </c>
      <c r="B49" s="4" t="s">
        <v>289</v>
      </c>
      <c r="C49" s="4">
        <v>0.5</v>
      </c>
      <c r="D49" s="8">
        <f>(C49*155)</f>
        <v>77.5</v>
      </c>
      <c r="E49" s="8"/>
      <c r="F49" s="4" t="s">
        <v>43</v>
      </c>
      <c r="G49" s="4"/>
      <c r="H49" s="4"/>
      <c r="I49" s="4"/>
      <c r="J49" s="4"/>
      <c r="K49" s="4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ht="15.75" customHeight="1">
      <c r="A50" s="4">
        <v>7.0</v>
      </c>
      <c r="B50" s="4" t="s">
        <v>289</v>
      </c>
      <c r="C50" s="4">
        <v>0.5</v>
      </c>
      <c r="D50" s="8"/>
      <c r="E50" s="8">
        <f>(C50*135)</f>
        <v>67.5</v>
      </c>
      <c r="F50" s="4" t="s">
        <v>17</v>
      </c>
      <c r="G50" s="4"/>
      <c r="H50" s="4"/>
      <c r="I50" s="4"/>
      <c r="J50" s="4"/>
      <c r="K50" s="4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ht="15.75" customHeight="1">
      <c r="A51" s="4">
        <v>0.0</v>
      </c>
      <c r="B51" s="4" t="s">
        <v>290</v>
      </c>
      <c r="C51" s="4"/>
      <c r="D51" s="8">
        <v>300.0</v>
      </c>
      <c r="E51" s="8"/>
      <c r="F51" s="4" t="s">
        <v>17</v>
      </c>
      <c r="G51" s="4"/>
      <c r="H51" s="4"/>
      <c r="I51" s="4"/>
      <c r="J51" s="4"/>
      <c r="K51" s="4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ht="15.75" customHeight="1">
      <c r="A52" s="4">
        <v>0.0</v>
      </c>
      <c r="B52" s="4" t="s">
        <v>290</v>
      </c>
      <c r="C52" s="4"/>
      <c r="D52" s="8">
        <v>265.0</v>
      </c>
      <c r="E52" s="8"/>
      <c r="F52" s="4" t="s">
        <v>43</v>
      </c>
      <c r="G52" s="4"/>
      <c r="H52" s="4"/>
      <c r="I52" s="4"/>
      <c r="J52" s="4"/>
      <c r="K52" s="4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ht="15.75" customHeight="1">
      <c r="A53" s="4">
        <v>0.0</v>
      </c>
      <c r="B53" s="4" t="s">
        <v>291</v>
      </c>
      <c r="C53" s="4"/>
      <c r="D53" s="8">
        <v>390.0</v>
      </c>
      <c r="E53" s="8"/>
      <c r="F53" s="4" t="s">
        <v>43</v>
      </c>
      <c r="G53" s="4"/>
      <c r="H53" s="4"/>
      <c r="I53" s="4"/>
      <c r="J53" s="4"/>
      <c r="K53" s="4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ht="15.75" customHeight="1">
      <c r="A54" s="4">
        <v>0.0</v>
      </c>
      <c r="B54" s="4" t="s">
        <v>291</v>
      </c>
      <c r="C54" s="4"/>
      <c r="D54" s="8"/>
      <c r="E54" s="8">
        <v>333.0</v>
      </c>
      <c r="F54" s="4" t="s">
        <v>17</v>
      </c>
      <c r="G54" s="4"/>
      <c r="H54" s="4"/>
      <c r="I54" s="4"/>
      <c r="J54" s="4"/>
      <c r="K54" s="4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ht="15.75" customHeight="1">
      <c r="A55" s="4">
        <v>0.0</v>
      </c>
      <c r="B55" s="4" t="s">
        <v>292</v>
      </c>
      <c r="C55" s="4"/>
      <c r="D55" s="8">
        <v>360.0</v>
      </c>
      <c r="E55" s="8"/>
      <c r="F55" s="4" t="s">
        <v>43</v>
      </c>
      <c r="G55" s="4"/>
      <c r="H55" s="4"/>
      <c r="I55" s="4"/>
      <c r="J55" s="4"/>
      <c r="K55" s="4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ht="15.75" customHeight="1">
      <c r="A56" s="4">
        <v>0.0</v>
      </c>
      <c r="B56" s="4" t="s">
        <v>292</v>
      </c>
      <c r="C56" s="4"/>
      <c r="D56" s="8"/>
      <c r="E56" s="8">
        <v>308.0</v>
      </c>
      <c r="F56" s="4" t="s">
        <v>17</v>
      </c>
      <c r="G56" s="4"/>
      <c r="H56" s="4"/>
      <c r="I56" s="4"/>
      <c r="J56" s="4"/>
      <c r="K56" s="4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ht="15.75" customHeight="1">
      <c r="A57" s="4">
        <v>0.0</v>
      </c>
      <c r="B57" s="4" t="s">
        <v>293</v>
      </c>
      <c r="C57" s="4"/>
      <c r="D57" s="8">
        <v>690.0</v>
      </c>
      <c r="E57" s="8"/>
      <c r="F57" s="4" t="s">
        <v>43</v>
      </c>
      <c r="G57" s="4"/>
      <c r="H57" s="4"/>
      <c r="I57" s="4"/>
      <c r="J57" s="4"/>
      <c r="K57" s="4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ht="15.75" customHeight="1">
      <c r="A58" s="4">
        <v>0.0</v>
      </c>
      <c r="B58" s="4" t="s">
        <v>293</v>
      </c>
      <c r="C58" s="4"/>
      <c r="D58" s="8"/>
      <c r="E58" s="8">
        <v>690.0</v>
      </c>
      <c r="F58" s="4" t="s">
        <v>17</v>
      </c>
      <c r="G58" s="4"/>
      <c r="H58" s="4"/>
      <c r="I58" s="4"/>
      <c r="J58" s="4"/>
      <c r="K58" s="4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ht="15.75" customHeight="1">
      <c r="A59" s="5" t="s">
        <v>68</v>
      </c>
      <c r="B59" s="5" t="s">
        <v>2</v>
      </c>
      <c r="C59" s="5" t="s">
        <v>3</v>
      </c>
      <c r="D59" s="5" t="s">
        <v>4</v>
      </c>
      <c r="E59" s="5" t="s">
        <v>5</v>
      </c>
      <c r="F59" s="6" t="s">
        <v>6</v>
      </c>
      <c r="G59" s="4"/>
      <c r="H59" s="4"/>
      <c r="I59" s="4"/>
      <c r="J59" s="4"/>
      <c r="K59" s="4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ht="15.75" customHeight="1">
      <c r="A60" s="4">
        <v>0.0</v>
      </c>
      <c r="B60" s="4" t="s">
        <v>294</v>
      </c>
      <c r="C60" s="4"/>
      <c r="D60" s="8">
        <v>345.0</v>
      </c>
      <c r="E60" s="8"/>
      <c r="F60" s="4" t="s">
        <v>43</v>
      </c>
      <c r="G60" s="4"/>
      <c r="H60" s="4"/>
      <c r="I60" s="4"/>
      <c r="J60" s="4"/>
      <c r="K60" s="4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ht="15.75" customHeight="1">
      <c r="A61" s="4">
        <v>0.0</v>
      </c>
      <c r="B61" s="4" t="s">
        <v>294</v>
      </c>
      <c r="C61" s="4"/>
      <c r="D61" s="8"/>
      <c r="E61" s="8">
        <v>335.0</v>
      </c>
      <c r="F61" s="4" t="s">
        <v>17</v>
      </c>
      <c r="G61" s="4"/>
      <c r="H61" s="4"/>
      <c r="I61" s="4"/>
      <c r="J61" s="4"/>
      <c r="K61" s="4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ht="15.75" customHeight="1">
      <c r="A62" s="4">
        <v>0.0</v>
      </c>
      <c r="B62" s="4" t="s">
        <v>295</v>
      </c>
      <c r="C62" s="4">
        <v>0.5</v>
      </c>
      <c r="D62" s="8"/>
      <c r="E62" s="8">
        <v>270.0</v>
      </c>
      <c r="F62" s="4" t="s">
        <v>17</v>
      </c>
      <c r="G62" s="4"/>
      <c r="H62" s="4"/>
      <c r="I62" s="4"/>
      <c r="J62" s="4"/>
      <c r="K62" s="4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ht="15.75" customHeight="1">
      <c r="A63" s="4">
        <v>0.0</v>
      </c>
      <c r="B63" s="4" t="s">
        <v>296</v>
      </c>
      <c r="C63" s="4">
        <v>0.05</v>
      </c>
      <c r="D63" s="8">
        <v>280.0</v>
      </c>
      <c r="E63" s="8"/>
      <c r="F63" s="4" t="s">
        <v>43</v>
      </c>
      <c r="G63" s="4"/>
      <c r="H63" s="4"/>
      <c r="I63" s="4"/>
      <c r="J63" s="4"/>
      <c r="K63" s="4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ht="15.75" customHeight="1">
      <c r="A64" s="4">
        <v>1.0</v>
      </c>
      <c r="B64" s="4" t="s">
        <v>297</v>
      </c>
      <c r="C64" s="4">
        <v>1.605</v>
      </c>
      <c r="D64" s="8">
        <f>(C64*530)</f>
        <v>850.65</v>
      </c>
      <c r="E64" s="8"/>
      <c r="F64" s="4" t="s">
        <v>43</v>
      </c>
      <c r="G64" s="4"/>
      <c r="H64" s="4"/>
      <c r="I64" s="4"/>
      <c r="J64" s="4"/>
      <c r="K64" s="4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ht="15.75" customHeight="1">
      <c r="A65" s="4">
        <v>0.0</v>
      </c>
      <c r="B65" s="4" t="s">
        <v>297</v>
      </c>
      <c r="C65" s="4"/>
      <c r="D65" s="8"/>
      <c r="E65" s="8">
        <v>530.0</v>
      </c>
      <c r="F65" s="4" t="s">
        <v>17</v>
      </c>
      <c r="G65" s="4"/>
      <c r="H65" s="4"/>
      <c r="I65" s="4"/>
      <c r="J65" s="4"/>
      <c r="K65" s="4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ht="15.75" customHeight="1">
      <c r="A66" s="4">
        <v>1.0</v>
      </c>
      <c r="B66" s="4" t="s">
        <v>298</v>
      </c>
      <c r="C66" s="4">
        <v>0.5</v>
      </c>
      <c r="D66" s="8">
        <f>(C66*710)</f>
        <v>355</v>
      </c>
      <c r="E66" s="8"/>
      <c r="F66" s="4" t="s">
        <v>43</v>
      </c>
      <c r="G66" s="4"/>
      <c r="H66" s="4"/>
      <c r="I66" s="4"/>
      <c r="J66" s="4"/>
      <c r="K66" s="4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ht="15.75" customHeight="1">
      <c r="A67" s="4">
        <v>0.0</v>
      </c>
      <c r="B67" s="4" t="s">
        <v>298</v>
      </c>
      <c r="C67" s="4"/>
      <c r="D67" s="8"/>
      <c r="E67" s="8">
        <f>(C67*710)</f>
        <v>0</v>
      </c>
      <c r="F67" s="4" t="s">
        <v>17</v>
      </c>
      <c r="G67" s="4"/>
      <c r="H67" s="4"/>
      <c r="I67" s="4"/>
      <c r="J67" s="4"/>
      <c r="K67" s="4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ht="15.75" customHeight="1">
      <c r="A68" s="4">
        <v>1.0</v>
      </c>
      <c r="B68" s="4" t="s">
        <v>299</v>
      </c>
      <c r="C68" s="4">
        <v>0.195</v>
      </c>
      <c r="D68" s="8">
        <f>(C68*700)</f>
        <v>136.5</v>
      </c>
      <c r="E68" s="8"/>
      <c r="F68" s="4" t="s">
        <v>43</v>
      </c>
      <c r="G68" s="4"/>
      <c r="H68" s="4"/>
      <c r="I68" s="4"/>
      <c r="J68" s="4"/>
      <c r="K68" s="4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ht="15.75" customHeight="1">
      <c r="A69" s="4">
        <v>0.0</v>
      </c>
      <c r="B69" s="4" t="s">
        <v>299</v>
      </c>
      <c r="C69" s="4"/>
      <c r="D69" s="8"/>
      <c r="E69" s="8">
        <v>700.0</v>
      </c>
      <c r="F69" s="4"/>
      <c r="G69" s="4"/>
      <c r="H69" s="4"/>
      <c r="I69" s="4"/>
      <c r="J69" s="4"/>
      <c r="K69" s="4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ht="15.75" customHeight="1">
      <c r="A70" s="4">
        <v>4.0</v>
      </c>
      <c r="B70" s="4" t="s">
        <v>300</v>
      </c>
      <c r="C70" s="4">
        <v>0.5</v>
      </c>
      <c r="D70" s="8">
        <v>270.0</v>
      </c>
      <c r="E70" s="8"/>
      <c r="F70" s="4" t="s">
        <v>43</v>
      </c>
      <c r="G70" s="4"/>
      <c r="H70" s="4"/>
      <c r="I70" s="4"/>
      <c r="J70" s="4"/>
      <c r="K70" s="4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ht="15.75" customHeight="1">
      <c r="A71" s="4">
        <v>3.0</v>
      </c>
      <c r="B71" s="4" t="s">
        <v>300</v>
      </c>
      <c r="C71" s="4">
        <v>0.5</v>
      </c>
      <c r="D71" s="8"/>
      <c r="E71" s="8">
        <v>255.0</v>
      </c>
      <c r="F71" s="4" t="s">
        <v>17</v>
      </c>
      <c r="G71" s="4"/>
      <c r="H71" s="4"/>
      <c r="I71" s="4"/>
      <c r="J71" s="4"/>
      <c r="K71" s="4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ht="15.75" customHeight="1">
      <c r="A72" s="4">
        <v>1.0</v>
      </c>
      <c r="B72" s="4" t="s">
        <v>301</v>
      </c>
      <c r="C72" s="4">
        <v>0.5</v>
      </c>
      <c r="D72" s="8">
        <v>270.0</v>
      </c>
      <c r="E72" s="8"/>
      <c r="F72" s="4" t="s">
        <v>43</v>
      </c>
      <c r="G72" s="4"/>
      <c r="H72" s="4"/>
      <c r="I72" s="4"/>
      <c r="J72" s="4"/>
      <c r="K72" s="4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ht="15.75" customHeight="1">
      <c r="A73" s="4">
        <v>1.0</v>
      </c>
      <c r="B73" s="4" t="s">
        <v>301</v>
      </c>
      <c r="C73" s="4">
        <v>0.5</v>
      </c>
      <c r="D73" s="8"/>
      <c r="E73" s="8">
        <v>255.0</v>
      </c>
      <c r="F73" s="4" t="s">
        <v>17</v>
      </c>
      <c r="G73" s="4"/>
      <c r="H73" s="4"/>
      <c r="I73" s="4"/>
      <c r="J73" s="4"/>
      <c r="K73" s="4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ht="15.75" customHeight="1">
      <c r="A74" s="4">
        <v>1.0</v>
      </c>
      <c r="B74" s="4" t="s">
        <v>302</v>
      </c>
      <c r="C74" s="4">
        <v>0.5</v>
      </c>
      <c r="D74" s="8">
        <v>270.0</v>
      </c>
      <c r="E74" s="8"/>
      <c r="F74" s="4" t="s">
        <v>43</v>
      </c>
      <c r="G74" s="4"/>
      <c r="H74" s="4"/>
      <c r="I74" s="4"/>
      <c r="J74" s="4"/>
      <c r="K74" s="4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ht="15.75" customHeight="1">
      <c r="A75" s="4">
        <v>1.0</v>
      </c>
      <c r="B75" s="4" t="s">
        <v>303</v>
      </c>
      <c r="C75" s="4">
        <v>5.0</v>
      </c>
      <c r="D75" s="8"/>
      <c r="E75" s="8">
        <v>255.0</v>
      </c>
      <c r="F75" s="4" t="s">
        <v>17</v>
      </c>
      <c r="G75" s="4"/>
      <c r="H75" s="4"/>
      <c r="I75" s="4"/>
      <c r="J75" s="4"/>
      <c r="K75" s="4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ht="15.75" customHeight="1">
      <c r="A76" s="4">
        <v>0.0</v>
      </c>
      <c r="B76" s="4" t="s">
        <v>304</v>
      </c>
      <c r="C76" s="4">
        <v>0.25</v>
      </c>
      <c r="D76" s="8"/>
      <c r="E76" s="8">
        <f>(C76*600)</f>
        <v>150</v>
      </c>
      <c r="F76" s="4" t="s">
        <v>17</v>
      </c>
      <c r="G76" s="4"/>
      <c r="H76" s="4"/>
      <c r="I76" s="4"/>
      <c r="J76" s="4"/>
      <c r="K76" s="4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ht="15.75" customHeight="1">
      <c r="A77" s="4">
        <v>1.0</v>
      </c>
      <c r="B77" s="4" t="s">
        <v>304</v>
      </c>
      <c r="C77" s="4">
        <v>0.25</v>
      </c>
      <c r="D77" s="8">
        <f>(C77*670)</f>
        <v>167.5</v>
      </c>
      <c r="E77" s="8"/>
      <c r="F77" s="4" t="s">
        <v>43</v>
      </c>
      <c r="G77" s="4"/>
      <c r="H77" s="4"/>
      <c r="I77" s="4"/>
      <c r="J77" s="4"/>
      <c r="K77" s="4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ht="15.75" customHeight="1">
      <c r="A78" s="4">
        <v>2.0</v>
      </c>
      <c r="B78" s="4" t="s">
        <v>305</v>
      </c>
      <c r="C78" s="4">
        <v>0.94</v>
      </c>
      <c r="D78" s="8">
        <v>220.0</v>
      </c>
      <c r="E78" s="8"/>
      <c r="F78" s="4" t="s">
        <v>43</v>
      </c>
      <c r="G78" s="4"/>
      <c r="H78" s="4"/>
      <c r="I78" s="4"/>
      <c r="J78" s="4"/>
      <c r="K78" s="4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ht="15.75" customHeight="1">
      <c r="A79" s="4">
        <v>2.0</v>
      </c>
      <c r="B79" s="4" t="s">
        <v>306</v>
      </c>
      <c r="C79" s="4">
        <v>0.94</v>
      </c>
      <c r="D79" s="8"/>
      <c r="E79" s="8">
        <v>180.0</v>
      </c>
      <c r="F79" s="4" t="s">
        <v>17</v>
      </c>
      <c r="G79" s="4"/>
      <c r="H79" s="4"/>
      <c r="I79" s="4"/>
      <c r="J79" s="4"/>
      <c r="K79" s="4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ht="15.75" customHeight="1">
      <c r="A80" s="4">
        <v>20.0</v>
      </c>
      <c r="B80" s="4" t="s">
        <v>307</v>
      </c>
      <c r="C80" s="4">
        <v>0.125</v>
      </c>
      <c r="D80" s="15">
        <v>120.38</v>
      </c>
      <c r="E80" s="8"/>
      <c r="F80" s="4" t="s">
        <v>43</v>
      </c>
      <c r="G80" s="4"/>
      <c r="H80" s="4"/>
      <c r="I80" s="4"/>
      <c r="J80" s="4"/>
      <c r="K80" s="4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ht="15.75" customHeight="1">
      <c r="A81" s="4">
        <v>25.0</v>
      </c>
      <c r="B81" s="4" t="s">
        <v>307</v>
      </c>
      <c r="C81" s="4">
        <v>0.125</v>
      </c>
      <c r="D81" s="8">
        <f>(C81*963)</f>
        <v>120.375</v>
      </c>
      <c r="E81" s="8"/>
      <c r="F81" s="4" t="s">
        <v>17</v>
      </c>
      <c r="G81" s="4"/>
      <c r="H81" s="4"/>
      <c r="I81" s="4"/>
      <c r="J81" s="4"/>
      <c r="K81" s="4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</sheetData>
  <printOptions/>
  <pageMargins bottom="0.3" footer="0.0" header="0.0" left="0.7" right="0.7" top="0.3"/>
  <pageSetup paperSize="9" orientation="portrait"/>
  <drawing r:id="rId1"/>
</worksheet>
</file>